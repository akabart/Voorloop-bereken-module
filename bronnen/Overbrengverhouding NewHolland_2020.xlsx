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lderbanden\Desktop\"/>
    </mc:Choice>
  </mc:AlternateContent>
  <xr:revisionPtr revIDLastSave="0" documentId="13_ncr:1_{90DA9FF5-5D35-433A-8373-1277CD4515FA}" xr6:coauthVersionLast="47" xr6:coauthVersionMax="47" xr10:uidLastSave="{00000000-0000-0000-0000-000000000000}"/>
  <bookViews>
    <workbookView xWindow="-120" yWindow="-120" windowWidth="29040" windowHeight="15840" firstSheet="22" activeTab="30" xr2:uid="{00000000-000D-0000-FFFF-FFFF00000000}"/>
  </bookViews>
  <sheets>
    <sheet name="T5,XXX Utility (2)" sheetId="38" r:id="rId1"/>
    <sheet name="TC_TCE_MC" sheetId="8" r:id="rId2"/>
    <sheet name="T3.XXF" sheetId="19" r:id="rId3"/>
    <sheet name="T4000" sheetId="14" r:id="rId4"/>
    <sheet name="TN_TNA" sheetId="2" r:id="rId5"/>
    <sheet name="T4 LP" sheetId="26" r:id="rId6"/>
    <sheet name="T4 Powerstar" sheetId="23" r:id="rId7"/>
    <sheet name="TD$.xxF" sheetId="32" r:id="rId8"/>
    <sheet name="T4.75 85 95 105 115" sheetId="25" r:id="rId9"/>
    <sheet name="T4.80 90 110 VNF SS" sheetId="34" r:id="rId10"/>
    <sheet name="TDD" sheetId="9" r:id="rId11"/>
    <sheet name="T5.75 Tm T5.115 utillity" sheetId="33" r:id="rId12"/>
    <sheet name="TL_TLA" sheetId="3" r:id="rId13"/>
    <sheet name="Sheet3" sheetId="35" r:id="rId14"/>
    <sheet name="T5000" sheetId="13" r:id="rId15"/>
    <sheet name="TD5.xxx" sheetId="21" r:id="rId16"/>
    <sheet name="T5.xxx" sheetId="22" r:id="rId17"/>
    <sheet name="T5.xxxT4 EC" sheetId="40" r:id="rId18"/>
    <sheet name="T5.xxx T4B" sheetId="28" r:id="rId19"/>
    <sheet name="T5,xxx AC_DC" sheetId="37" r:id="rId20"/>
    <sheet name="TS_TSA" sheetId="4" r:id="rId21"/>
    <sheet name="T6000" sheetId="12" r:id="rId22"/>
    <sheet name="T6.xxx" sheetId="18" r:id="rId23"/>
    <sheet name="T6.xxx T4B" sheetId="29" r:id="rId24"/>
    <sheet name="TM" sheetId="5" r:id="rId25"/>
    <sheet name="T7.xxxSWB" sheetId="16" r:id="rId26"/>
    <sheet name="T7.xxxSWB T4B" sheetId="30" r:id="rId27"/>
    <sheet name="T7000" sheetId="10" r:id="rId28"/>
    <sheet name="T7.xxxLWB" sheetId="17" r:id="rId29"/>
    <sheet name="T7.xxxLWB T4B" sheetId="31" r:id="rId30"/>
    <sheet name="T7.XXXHD" sheetId="27" r:id="rId31"/>
    <sheet name="TVT_T7500" sheetId="6" r:id="rId32"/>
    <sheet name="70_70A" sheetId="7" r:id="rId33"/>
    <sheet name="TG_T8000" sheetId="1" r:id="rId34"/>
    <sheet name="T8" sheetId="20" r:id="rId35"/>
    <sheet name="Sheet1" sheetId="24" r:id="rId36"/>
  </sheets>
  <definedNames>
    <definedName name="_xlnm.Print_Titles" localSheetId="32">'70_70A'!$1:$4</definedName>
    <definedName name="_xlnm.Print_Titles" localSheetId="3">'T4000'!$1:$4</definedName>
    <definedName name="_xlnm.Print_Titles" localSheetId="28">'T7.xxxLWB'!$1:$4</definedName>
    <definedName name="_xlnm.Print_Titles" localSheetId="29">'T7.xxxLWB T4B'!$1:$4</definedName>
    <definedName name="_xlnm.Print_Titles" localSheetId="25">'T7.xxxSWB'!$1:$4</definedName>
    <definedName name="_xlnm.Print_Titles" localSheetId="26">'T7.xxxSWB T4B'!$1:$4</definedName>
    <definedName name="_xlnm.Print_Titles" localSheetId="27">'T7000'!$1:$4</definedName>
    <definedName name="_xlnm.Print_Titles" localSheetId="1">TC_TCE_MC!$1:$4</definedName>
    <definedName name="_xlnm.Print_Titles" localSheetId="15">'TD5.xxx'!$1:$4</definedName>
    <definedName name="_xlnm.Print_Titles" localSheetId="10">TDD!$1:$4</definedName>
    <definedName name="_xlnm.Print_Titles" localSheetId="33">TG_T8000!$1:$4</definedName>
    <definedName name="_xlnm.Print_Titles" localSheetId="12">TL_TLA!$1:$4</definedName>
    <definedName name="_xlnm.Print_Titles" localSheetId="24">TM!$1:$4</definedName>
    <definedName name="_xlnm.Print_Titles" localSheetId="4">TN_TNA!$1:$4</definedName>
    <definedName name="_xlnm.Print_Titles" localSheetId="20">TS_TSA!$1:$4</definedName>
    <definedName name="_xlnm.Print_Titles" localSheetId="31">TVT_T7500!$1:$4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L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CNH:</t>
        </r>
        <r>
          <rPr>
            <sz val="8"/>
            <color indexed="81"/>
            <rFont val="Tahoma"/>
            <family val="2"/>
          </rPr>
          <t xml:space="preserve">
30 km +1,422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M5" authorId="0" shapeId="0" xr:uid="{00000000-0006-0000-1100-000001000000}">
      <text>
        <r>
          <rPr>
            <b/>
            <sz val="8"/>
            <color indexed="81"/>
            <rFont val="Tahoma"/>
            <family val="2"/>
          </rPr>
          <t>CNH:</t>
        </r>
        <r>
          <rPr>
            <sz val="8"/>
            <color indexed="81"/>
            <rFont val="Tahoma"/>
            <family val="2"/>
          </rPr>
          <t xml:space="preserve">
Af DEC 2007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B18" authorId="0" shapeId="0" xr:uid="{00000000-0006-0000-1400-000001000000}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B19" authorId="0" shapeId="0" xr:uid="{00000000-0006-0000-1500-000001000000}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B17" authorId="0" shapeId="0" xr:uid="{00000000-0006-0000-1600-000001000000}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L4" authorId="0" shapeId="0" xr:uid="{00000000-0006-0000-1700-000001000000}">
      <text>
        <r>
          <rPr>
            <b/>
            <sz val="8"/>
            <color indexed="81"/>
            <rFont val="Tahoma"/>
            <family val="2"/>
          </rPr>
          <t>CNH:</t>
        </r>
        <r>
          <rPr>
            <sz val="8"/>
            <color indexed="81"/>
            <rFont val="Tahoma"/>
            <family val="2"/>
          </rPr>
          <t xml:space="preserve">
H6=A</t>
        </r>
      </text>
    </comment>
    <comment ref="M4" authorId="0" shapeId="0" xr:uid="{00000000-0006-0000-1700-000002000000}">
      <text>
        <r>
          <rPr>
            <b/>
            <sz val="8"/>
            <color indexed="81"/>
            <rFont val="Tahoma"/>
            <family val="2"/>
          </rPr>
          <t>CNH:</t>
        </r>
        <r>
          <rPr>
            <sz val="8"/>
            <color indexed="81"/>
            <rFont val="Tahoma"/>
            <family val="2"/>
          </rPr>
          <t xml:space="preserve">
H6=B</t>
        </r>
      </text>
    </comment>
    <comment ref="B20" authorId="0" shapeId="0" xr:uid="{00000000-0006-0000-1700-000003000000}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B20" authorId="0" shapeId="0" xr:uid="{00000000-0006-0000-1800-000001000000}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CNH</author>
  </authors>
  <commentList>
    <comment ref="B17" authorId="0" shapeId="0" xr:uid="{00000000-0006-0000-1900-000001000000}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<sst xmlns="http://schemas.openxmlformats.org/spreadsheetml/2006/main" count="2980" uniqueCount="616">
  <si>
    <t>WIELAANSLUITMATEN</t>
  </si>
  <si>
    <t>OVERBRENGINGSVERHOUDING</t>
  </si>
  <si>
    <t>TYPE</t>
  </si>
  <si>
    <t>FLENSMAAT</t>
  </si>
  <si>
    <t>NAAFGAT</t>
  </si>
  <si>
    <t>STEEKCIRKEL</t>
  </si>
  <si>
    <t>WIELBOUTEN</t>
  </si>
  <si>
    <t>MECH-S</t>
  </si>
  <si>
    <t>HI/LO-SL</t>
  </si>
  <si>
    <t>SLE</t>
  </si>
  <si>
    <t>SEMI/PS</t>
  </si>
  <si>
    <t>VOOR</t>
  </si>
  <si>
    <t>ACHTER</t>
  </si>
  <si>
    <t>M100/8160</t>
  </si>
  <si>
    <t>M115/8260</t>
  </si>
  <si>
    <t>M135/8360</t>
  </si>
  <si>
    <t>M160/8560</t>
  </si>
  <si>
    <t>niet leverbaar</t>
  </si>
  <si>
    <t>L60/4635</t>
  </si>
  <si>
    <t>L65/4835</t>
  </si>
  <si>
    <t>L75/5635</t>
  </si>
  <si>
    <t>L85/6635</t>
  </si>
  <si>
    <t>L95/7635</t>
  </si>
  <si>
    <t>8/21,5</t>
  </si>
  <si>
    <t>1,3659/1,3318</t>
  </si>
  <si>
    <t>1,3805/1,3442</t>
  </si>
  <si>
    <t>1,3777/1,3415</t>
  </si>
  <si>
    <t>1,3586/1,3228</t>
  </si>
  <si>
    <t>1,3558/1,3201</t>
  </si>
  <si>
    <t>1800/2150</t>
  </si>
  <si>
    <t>10/3/4</t>
  </si>
  <si>
    <t>G190/8770</t>
  </si>
  <si>
    <t>(serv1,343)</t>
  </si>
  <si>
    <t>1,309/1,378</t>
  </si>
  <si>
    <t>G210/8870</t>
  </si>
  <si>
    <t>G240/8970</t>
  </si>
  <si>
    <t>TNF 65</t>
  </si>
  <si>
    <t>TNF 75</t>
  </si>
  <si>
    <t>TNF 90</t>
  </si>
  <si>
    <t>TNF 20"</t>
  </si>
  <si>
    <t>TND 55</t>
  </si>
  <si>
    <t>TNS 55</t>
  </si>
  <si>
    <t>TND 65/75</t>
  </si>
  <si>
    <t>TNS 65/75</t>
  </si>
  <si>
    <t>TL 70</t>
  </si>
  <si>
    <t>TL 80</t>
  </si>
  <si>
    <t>TL 80 HD</t>
  </si>
  <si>
    <t>TL 90 HD</t>
  </si>
  <si>
    <t>TL 100 HD</t>
  </si>
  <si>
    <t>TS 80</t>
  </si>
  <si>
    <t>TS 90</t>
  </si>
  <si>
    <t>TS 100</t>
  </si>
  <si>
    <t>TS 110</t>
  </si>
  <si>
    <t>TS 115</t>
  </si>
  <si>
    <t xml:space="preserve">8/3/4 unf </t>
  </si>
  <si>
    <t>Upgrade</t>
  </si>
  <si>
    <t>Na 116200B</t>
  </si>
  <si>
    <t>Gehele TN serie heeft een naloop van 2tot 5 %(met auto FWD)</t>
  </si>
  <si>
    <t>TM 115</t>
  </si>
  <si>
    <t>TM 125</t>
  </si>
  <si>
    <t>TM 135</t>
  </si>
  <si>
    <t>TM 115 SS</t>
  </si>
  <si>
    <t>TM 135 SS</t>
  </si>
  <si>
    <t>TM 125 SS</t>
  </si>
  <si>
    <t>TM 150&amp;SS</t>
  </si>
  <si>
    <t>TM 165&amp;SS</t>
  </si>
  <si>
    <t>8/18X1.5</t>
  </si>
  <si>
    <t>8/16X1.5</t>
  </si>
  <si>
    <t>6/16X1.5</t>
  </si>
  <si>
    <t>SS=supersteer</t>
  </si>
  <si>
    <t>TNV 55/65/75</t>
  </si>
  <si>
    <t>TNV 20"</t>
  </si>
  <si>
    <t>TNN 65/75</t>
  </si>
  <si>
    <t>TNN 20"</t>
  </si>
  <si>
    <t>1,39</t>
  </si>
  <si>
    <t>6/18X1.5</t>
  </si>
  <si>
    <t>8670 A</t>
  </si>
  <si>
    <t>8770 A</t>
  </si>
  <si>
    <t>8870 A</t>
  </si>
  <si>
    <t>8970 A</t>
  </si>
  <si>
    <t>12/22x1.5</t>
  </si>
  <si>
    <t>TM 120</t>
  </si>
  <si>
    <t>TM 120 SS</t>
  </si>
  <si>
    <t>TM 130</t>
  </si>
  <si>
    <t>TM 130 SS</t>
  </si>
  <si>
    <t>TM 140</t>
  </si>
  <si>
    <t>TM 140 SS</t>
  </si>
  <si>
    <t>TM 155&amp;SS</t>
  </si>
  <si>
    <t>TM 175&amp;SS</t>
  </si>
  <si>
    <t>TM 190&amp;SS</t>
  </si>
  <si>
    <t>10/22</t>
  </si>
  <si>
    <t>TG 210</t>
  </si>
  <si>
    <t>TG 230</t>
  </si>
  <si>
    <t>TG 255</t>
  </si>
  <si>
    <t>TG 285</t>
  </si>
  <si>
    <t>10/20</t>
  </si>
  <si>
    <t>12/20</t>
  </si>
  <si>
    <t>TD75D</t>
  </si>
  <si>
    <t>TD85D</t>
  </si>
  <si>
    <t>TD95D</t>
  </si>
  <si>
    <t>TCE</t>
  </si>
  <si>
    <t>117,4</t>
  </si>
  <si>
    <t>152,4</t>
  </si>
  <si>
    <t>12x1,75</t>
  </si>
  <si>
    <t>alle modellen</t>
  </si>
  <si>
    <t>TC 18, 21</t>
  </si>
  <si>
    <t>TC 27 D</t>
  </si>
  <si>
    <t>TC 40, 45 D</t>
  </si>
  <si>
    <t>6xm10</t>
  </si>
  <si>
    <t>6xm12</t>
  </si>
  <si>
    <t>1201</t>
  </si>
  <si>
    <t>6x1\2 unf</t>
  </si>
  <si>
    <t>8x9\16 unf</t>
  </si>
  <si>
    <t>1298</t>
  </si>
  <si>
    <t>Bar</t>
  </si>
  <si>
    <t>TSA 100\115</t>
  </si>
  <si>
    <t>TSA 125\135</t>
  </si>
  <si>
    <t>SUS= Suspension</t>
  </si>
  <si>
    <t>BR= Brakes</t>
  </si>
  <si>
    <t>SS= Supersteer</t>
  </si>
  <si>
    <t>2 WD</t>
  </si>
  <si>
    <t>2 WD HD</t>
  </si>
  <si>
    <t>8</t>
  </si>
  <si>
    <t>6</t>
  </si>
  <si>
    <t>1922</t>
  </si>
  <si>
    <t>1890</t>
  </si>
  <si>
    <r>
      <t xml:space="preserve">TSA 100\110 </t>
    </r>
    <r>
      <rPr>
        <b/>
        <sz val="10"/>
        <color indexed="10"/>
        <rFont val="Arial"/>
        <family val="2"/>
      </rPr>
      <t>SS</t>
    </r>
  </si>
  <si>
    <r>
      <t xml:space="preserve">TSA 115\135 </t>
    </r>
    <r>
      <rPr>
        <b/>
        <sz val="10"/>
        <color indexed="10"/>
        <rFont val="Arial"/>
        <family val="2"/>
      </rPr>
      <t>SS</t>
    </r>
  </si>
  <si>
    <r>
      <t xml:space="preserve">TSA 100\115 </t>
    </r>
    <r>
      <rPr>
        <b/>
        <sz val="10"/>
        <color indexed="14"/>
        <rFont val="Arial"/>
        <family val="2"/>
      </rPr>
      <t>BR</t>
    </r>
  </si>
  <si>
    <r>
      <t xml:space="preserve">TSA 125\135 </t>
    </r>
    <r>
      <rPr>
        <b/>
        <sz val="10"/>
        <color indexed="14"/>
        <rFont val="Arial"/>
        <family val="2"/>
      </rPr>
      <t>BR</t>
    </r>
  </si>
  <si>
    <r>
      <t xml:space="preserve">TSA 100\115 </t>
    </r>
    <r>
      <rPr>
        <b/>
        <sz val="10"/>
        <color indexed="56"/>
        <rFont val="Arial"/>
        <family val="2"/>
      </rPr>
      <t>SUS</t>
    </r>
  </si>
  <si>
    <r>
      <t xml:space="preserve">TSA 100\115 </t>
    </r>
    <r>
      <rPr>
        <b/>
        <sz val="10"/>
        <color indexed="14"/>
        <rFont val="Arial"/>
        <family val="2"/>
      </rPr>
      <t>BR</t>
    </r>
    <r>
      <rPr>
        <b/>
        <sz val="10"/>
        <rFont val="Arial"/>
        <family val="2"/>
      </rPr>
      <t>\</t>
    </r>
    <r>
      <rPr>
        <b/>
        <sz val="10"/>
        <color indexed="56"/>
        <rFont val="Arial"/>
        <family val="2"/>
      </rPr>
      <t>SUS</t>
    </r>
  </si>
  <si>
    <r>
      <t xml:space="preserve">TSA 125\135 </t>
    </r>
    <r>
      <rPr>
        <b/>
        <sz val="10"/>
        <color indexed="56"/>
        <rFont val="Arial"/>
        <family val="2"/>
      </rPr>
      <t>SUS</t>
    </r>
  </si>
  <si>
    <r>
      <t xml:space="preserve">TSA 125\135 </t>
    </r>
    <r>
      <rPr>
        <b/>
        <sz val="10"/>
        <color indexed="14"/>
        <rFont val="Arial"/>
        <family val="2"/>
      </rPr>
      <t>BR</t>
    </r>
    <r>
      <rPr>
        <b/>
        <sz val="10"/>
        <rFont val="Arial"/>
        <family val="2"/>
      </rPr>
      <t>\</t>
    </r>
    <r>
      <rPr>
        <b/>
        <sz val="10"/>
        <color indexed="56"/>
        <rFont val="Arial"/>
        <family val="2"/>
      </rPr>
      <t>SUS</t>
    </r>
  </si>
  <si>
    <t>PS/VARIO</t>
  </si>
  <si>
    <t>TVT 135 LD 20.25</t>
  </si>
  <si>
    <t>TVT 145 LD 20.25</t>
  </si>
  <si>
    <t>TVT 155 HD 20.25</t>
  </si>
  <si>
    <t>TVT 170 HD 20.29</t>
  </si>
  <si>
    <t>TVT 190 HD 20.29</t>
  </si>
  <si>
    <t>20.25 Vaste en SUS</t>
  </si>
  <si>
    <t>20.29 SUS</t>
  </si>
  <si>
    <t>1900</t>
  </si>
  <si>
    <t>220.6(8)</t>
  </si>
  <si>
    <t>5xM22X1.5</t>
  </si>
  <si>
    <t>10xM20x1.5</t>
  </si>
  <si>
    <t>8xM22x1.5</t>
  </si>
  <si>
    <t>MC 35</t>
  </si>
  <si>
    <t>0.852</t>
  </si>
  <si>
    <t>KM</t>
  </si>
  <si>
    <t>TNVA</t>
  </si>
  <si>
    <t>TNVA 20"</t>
  </si>
  <si>
    <t>TNNA</t>
  </si>
  <si>
    <t>TNNA 20"</t>
  </si>
  <si>
    <t xml:space="preserve">TNNA </t>
  </si>
  <si>
    <t>TN85FA</t>
  </si>
  <si>
    <t>TN95FA</t>
  </si>
  <si>
    <t>TNDA</t>
  </si>
  <si>
    <t>TNSA</t>
  </si>
  <si>
    <t>70A</t>
  </si>
  <si>
    <t>80A</t>
  </si>
  <si>
    <t>90A</t>
  </si>
  <si>
    <t>100A</t>
  </si>
  <si>
    <t>80A HD</t>
  </si>
  <si>
    <t>T 8020</t>
  </si>
  <si>
    <t>T 8030</t>
  </si>
  <si>
    <t>T 8040</t>
  </si>
  <si>
    <t>KL</t>
  </si>
  <si>
    <t>TSA 100</t>
  </si>
  <si>
    <t>Delta</t>
  </si>
  <si>
    <t>TSA 110</t>
  </si>
  <si>
    <t>TSA 115</t>
  </si>
  <si>
    <t>Plus</t>
  </si>
  <si>
    <t>139.5</t>
  </si>
  <si>
    <t>8/18x1,5</t>
  </si>
  <si>
    <t>T7030</t>
  </si>
  <si>
    <t>T7040</t>
  </si>
  <si>
    <t>T7050</t>
  </si>
  <si>
    <t>T7060</t>
  </si>
  <si>
    <t>10/25X2.5</t>
  </si>
  <si>
    <t>T7030 SS</t>
  </si>
  <si>
    <t>T7040 SS</t>
  </si>
  <si>
    <t>T7050 SS</t>
  </si>
  <si>
    <t>T7060 SS</t>
  </si>
  <si>
    <t>T7030 SUS</t>
  </si>
  <si>
    <t>T7040 SUS</t>
  </si>
  <si>
    <t>T7050 SUS</t>
  </si>
  <si>
    <t>T7060 SUS</t>
  </si>
  <si>
    <t>98''</t>
  </si>
  <si>
    <t>bar</t>
  </si>
  <si>
    <t>4HD</t>
  </si>
  <si>
    <t>Uitvoering</t>
  </si>
  <si>
    <t>Type Achteras/Transmissie</t>
  </si>
  <si>
    <t>Light Duty</t>
  </si>
  <si>
    <t>Heavy Duty</t>
  </si>
  <si>
    <t>Flens/staaf</t>
  </si>
  <si>
    <t>12x12/24x24/16x16/16x17</t>
  </si>
  <si>
    <t>3x6/18/19</t>
  </si>
  <si>
    <t>T6010</t>
  </si>
  <si>
    <t>1770/1575</t>
  </si>
  <si>
    <t>139.5/221</t>
  </si>
  <si>
    <t>203.2/275</t>
  </si>
  <si>
    <t>1.361</t>
  </si>
  <si>
    <t>1.353</t>
  </si>
  <si>
    <t>T6020</t>
  </si>
  <si>
    <t>T6030</t>
  </si>
  <si>
    <t>----</t>
  </si>
  <si>
    <t>T6050</t>
  </si>
  <si>
    <t>1890/1900</t>
  </si>
  <si>
    <t>T6070</t>
  </si>
  <si>
    <t>T6010 FSUS</t>
  </si>
  <si>
    <t>290 / …</t>
  </si>
  <si>
    <t>330/405</t>
  </si>
  <si>
    <t>T6020 FSUS</t>
  </si>
  <si>
    <t>T6030 FSUS</t>
  </si>
  <si>
    <t>T6050 FSUS</t>
  </si>
  <si>
    <t>T6070 FSUS</t>
  </si>
  <si>
    <t>T6010 SS</t>
  </si>
  <si>
    <t>T6020 SS</t>
  </si>
  <si>
    <t>T6030 SS</t>
  </si>
  <si>
    <t>T6050 SS</t>
  </si>
  <si>
    <t>T6070 SS</t>
  </si>
  <si>
    <t>Elite</t>
  </si>
  <si>
    <t>1.321/1.323</t>
  </si>
  <si>
    <t>T6040</t>
  </si>
  <si>
    <t>T6060</t>
  </si>
  <si>
    <t>T6080</t>
  </si>
  <si>
    <t>----/1900</t>
  </si>
  <si>
    <t>--- / …</t>
  </si>
  <si>
    <t>--- /405</t>
  </si>
  <si>
    <t>--- /275</t>
  </si>
  <si>
    <t>---/1.326</t>
  </si>
  <si>
    <t>T6040 FSUS</t>
  </si>
  <si>
    <t>T6060 FSUS</t>
  </si>
  <si>
    <t>T6080 FSUS</t>
  </si>
  <si>
    <t>T6040 SS</t>
  </si>
  <si>
    <t>T6060 SS</t>
  </si>
  <si>
    <t>T6080 SS</t>
  </si>
  <si>
    <t>Vooras klasse</t>
  </si>
  <si>
    <t>CL3/CL4</t>
  </si>
  <si>
    <t>CL4</t>
  </si>
  <si>
    <t>1790</t>
  </si>
  <si>
    <t>12/21</t>
  </si>
  <si>
    <t>10/23</t>
  </si>
  <si>
    <t>T 8050</t>
  </si>
  <si>
    <t>1271</t>
  </si>
  <si>
    <t>4000 20"</t>
  </si>
  <si>
    <t>4030 F</t>
  </si>
  <si>
    <t>4040 F</t>
  </si>
  <si>
    <t>4050 F</t>
  </si>
  <si>
    <t>1265</t>
  </si>
  <si>
    <t>T4020</t>
  </si>
  <si>
    <t>T4030</t>
  </si>
  <si>
    <t>T4040</t>
  </si>
  <si>
    <t>T4050</t>
  </si>
  <si>
    <t>T7070</t>
  </si>
  <si>
    <t>1901</t>
  </si>
  <si>
    <t>1902</t>
  </si>
  <si>
    <t>8/16X1.6</t>
  </si>
  <si>
    <t>8/16X1.7</t>
  </si>
  <si>
    <t>10/25X2.6</t>
  </si>
  <si>
    <t>10/25X2.7</t>
  </si>
  <si>
    <t>T7070 SUS</t>
  </si>
  <si>
    <t>T7070 SS</t>
  </si>
  <si>
    <t>T4020 V</t>
  </si>
  <si>
    <t>T4030 V</t>
  </si>
  <si>
    <t>T4040 V</t>
  </si>
  <si>
    <t>T4050 V</t>
  </si>
  <si>
    <t>T4030 N</t>
  </si>
  <si>
    <t>T4040 N</t>
  </si>
  <si>
    <t>T4050 N</t>
  </si>
  <si>
    <t>925</t>
  </si>
  <si>
    <t>1151</t>
  </si>
  <si>
    <t>6/18X1.6</t>
  </si>
  <si>
    <t>6/18X1.7</t>
  </si>
  <si>
    <t>T7510 LD 20.25</t>
  </si>
  <si>
    <t>T7520 LD 20.25</t>
  </si>
  <si>
    <t>T7530 HD 20.25</t>
  </si>
  <si>
    <t>T7540 HD 20.29</t>
  </si>
  <si>
    <t>T7550 HD 20.29</t>
  </si>
  <si>
    <t>1870/1575</t>
  </si>
  <si>
    <t>1870</t>
  </si>
  <si>
    <r>
      <t xml:space="preserve">T6030 </t>
    </r>
    <r>
      <rPr>
        <b/>
        <sz val="10"/>
        <color indexed="10"/>
        <rFont val="Arial"/>
        <family val="2"/>
      </rPr>
      <t>RC/PC</t>
    </r>
  </si>
  <si>
    <r>
      <t xml:space="preserve">T6050 </t>
    </r>
    <r>
      <rPr>
        <b/>
        <sz val="10"/>
        <color indexed="10"/>
        <rFont val="Arial"/>
        <family val="2"/>
      </rPr>
      <t>RC/PC</t>
    </r>
  </si>
  <si>
    <r>
      <t xml:space="preserve">T6070 </t>
    </r>
    <r>
      <rPr>
        <b/>
        <sz val="10"/>
        <color indexed="10"/>
        <rFont val="Arial"/>
        <family val="2"/>
      </rPr>
      <t>RC/PC</t>
    </r>
  </si>
  <si>
    <r>
      <t xml:space="preserve">T6080 </t>
    </r>
    <r>
      <rPr>
        <b/>
        <sz val="10"/>
        <color indexed="10"/>
        <rFont val="Arial"/>
        <family val="2"/>
      </rPr>
      <t>RC/PC</t>
    </r>
  </si>
  <si>
    <t>T6090</t>
  </si>
  <si>
    <t>TOT 008072001 (47/57)</t>
  </si>
  <si>
    <t>008072001 (45/60) ONW</t>
  </si>
  <si>
    <t>SPS/PS/VARIO</t>
  </si>
  <si>
    <t>VOOR 3/4</t>
  </si>
  <si>
    <t xml:space="preserve">VOOR 3/4 </t>
  </si>
  <si>
    <t>290/362</t>
  </si>
  <si>
    <t>4</t>
  </si>
  <si>
    <t>3/4</t>
  </si>
  <si>
    <t>303/405</t>
  </si>
  <si>
    <t>KL 3</t>
  </si>
  <si>
    <t>KL 4</t>
  </si>
  <si>
    <t>210/250</t>
  </si>
  <si>
    <t>4wd</t>
  </si>
  <si>
    <t>-</t>
  </si>
  <si>
    <t>Gewicht</t>
  </si>
  <si>
    <t>Voor</t>
  </si>
  <si>
    <t>Achter</t>
  </si>
  <si>
    <t>Totaal</t>
  </si>
  <si>
    <t>HD</t>
  </si>
  <si>
    <t>Vooras</t>
  </si>
  <si>
    <t>Achteras</t>
  </si>
  <si>
    <t>Max toegestane belasting</t>
  </si>
  <si>
    <t>T7.170</t>
  </si>
  <si>
    <t>T7.185</t>
  </si>
  <si>
    <t>T7.200</t>
  </si>
  <si>
    <t>T7.210</t>
  </si>
  <si>
    <t>T7.170 SS</t>
  </si>
  <si>
    <t>T7.185 SS</t>
  </si>
  <si>
    <t>T7.200 SS</t>
  </si>
  <si>
    <t>T7.210 SS</t>
  </si>
  <si>
    <t>T7.170 SUS</t>
  </si>
  <si>
    <t>T7.185 SUS</t>
  </si>
  <si>
    <t>T7.200 SUS</t>
  </si>
  <si>
    <t>T7.210 SUS</t>
  </si>
  <si>
    <t xml:space="preserve">Klasse 3 </t>
  </si>
  <si>
    <t xml:space="preserve">Klasse 4 </t>
  </si>
  <si>
    <t>T7.220</t>
  </si>
  <si>
    <t>T7.235</t>
  </si>
  <si>
    <t>T7.250</t>
  </si>
  <si>
    <t>T7.260</t>
  </si>
  <si>
    <t>T7.270</t>
  </si>
  <si>
    <t>210/500</t>
  </si>
  <si>
    <t>Klasse 4 HD</t>
  </si>
  <si>
    <t>MAX Gewicht</t>
  </si>
  <si>
    <t>T7.220 SS</t>
  </si>
  <si>
    <t>T7.235 SS</t>
  </si>
  <si>
    <t>T7.250 SS</t>
  </si>
  <si>
    <t>T7.260 SS</t>
  </si>
  <si>
    <t>T7.270.SS</t>
  </si>
  <si>
    <t>T7.220 SUS</t>
  </si>
  <si>
    <t>T7.235 SUS</t>
  </si>
  <si>
    <t>T7.250 SUS</t>
  </si>
  <si>
    <t>T7.260 SUS</t>
  </si>
  <si>
    <t>T7.270.SUS</t>
  </si>
  <si>
    <t>(NM)</t>
  </si>
  <si>
    <t>V/A</t>
  </si>
  <si>
    <t xml:space="preserve">4 </t>
  </si>
  <si>
    <t>T8.275</t>
  </si>
  <si>
    <t>T8.300</t>
  </si>
  <si>
    <t>T8.330</t>
  </si>
  <si>
    <t>T8.360</t>
  </si>
  <si>
    <t>4"</t>
  </si>
  <si>
    <t>DANA 12B</t>
  </si>
  <si>
    <t>CL 4,5</t>
  </si>
  <si>
    <t>4''</t>
  </si>
  <si>
    <t>4,5''</t>
  </si>
  <si>
    <t>CL5</t>
  </si>
  <si>
    <t>T.8390</t>
  </si>
  <si>
    <t>T.8360</t>
  </si>
  <si>
    <t>12/23</t>
  </si>
  <si>
    <t>T6.120</t>
  </si>
  <si>
    <t>T6.140</t>
  </si>
  <si>
    <t>T6.150</t>
  </si>
  <si>
    <t>T6.155</t>
  </si>
  <si>
    <t>T6.160</t>
  </si>
  <si>
    <t>T6.165</t>
  </si>
  <si>
    <t>T6.175</t>
  </si>
  <si>
    <t>T6.120/ T6.140</t>
  </si>
  <si>
    <t>Drive</t>
  </si>
  <si>
    <t>Front
Axle
Type</t>
  </si>
  <si>
    <t>Rear
Axle
Type</t>
  </si>
  <si>
    <t>Weight</t>
  </si>
  <si>
    <t xml:space="preserve">Class 3 </t>
  </si>
  <si>
    <t>Front</t>
  </si>
  <si>
    <t>Rear</t>
  </si>
  <si>
    <t>Total</t>
  </si>
  <si>
    <t>Heavy
Duty</t>
  </si>
  <si>
    <t xml:space="preserve">Class 4 </t>
  </si>
  <si>
    <t>Standaard</t>
  </si>
  <si>
    <t>4 Cilinders</t>
  </si>
  <si>
    <t>6 Cilinder</t>
  </si>
  <si>
    <t>T3.50F</t>
  </si>
  <si>
    <t>T3.65F</t>
  </si>
  <si>
    <t>T3.75F</t>
  </si>
  <si>
    <t>T3.55F</t>
  </si>
  <si>
    <t>0</t>
  </si>
  <si>
    <t>245/314</t>
  </si>
  <si>
    <t>KL 1</t>
  </si>
  <si>
    <t>TD5.65</t>
  </si>
  <si>
    <t>TD5.75</t>
  </si>
  <si>
    <t>TD5.85</t>
  </si>
  <si>
    <t>TD5.95</t>
  </si>
  <si>
    <t>TD5.105</t>
  </si>
  <si>
    <t>TD5.115</t>
  </si>
  <si>
    <t>Kl</t>
  </si>
  <si>
    <t>I</t>
  </si>
  <si>
    <t>II</t>
  </si>
  <si>
    <t>T5.95</t>
  </si>
  <si>
    <t>T5.105</t>
  </si>
  <si>
    <t>T5.115</t>
  </si>
  <si>
    <t>40 HD</t>
  </si>
  <si>
    <t>1655</t>
  </si>
  <si>
    <t>1772</t>
  </si>
  <si>
    <t>T4.55</t>
  </si>
  <si>
    <t>T4.65</t>
  </si>
  <si>
    <t>T4.75</t>
  </si>
  <si>
    <t>T4.90</t>
  </si>
  <si>
    <t>T4.100</t>
  </si>
  <si>
    <t>Type</t>
  </si>
  <si>
    <t>30 km</t>
  </si>
  <si>
    <t>40 km</t>
  </si>
  <si>
    <t>1584</t>
  </si>
  <si>
    <t>T4.85</t>
  </si>
  <si>
    <t>T4.95</t>
  </si>
  <si>
    <t>T4.105</t>
  </si>
  <si>
    <t>T4.115</t>
  </si>
  <si>
    <t>Unrestricted (static) axle capacity (kg)</t>
  </si>
  <si>
    <r>
      <t xml:space="preserve">Restricted (dynamic*) axle capacity (kg) - </t>
    </r>
    <r>
      <rPr>
        <sz val="10"/>
        <color rgb="FFFF0000"/>
        <rFont val="Arial Narrow"/>
        <family val="2"/>
      </rPr>
      <t>Occasional</t>
    </r>
    <r>
      <rPr>
        <sz val="10"/>
        <rFont val="Arial Narrow"/>
        <family val="2"/>
      </rPr>
      <t xml:space="preserve"> Usage</t>
    </r>
  </si>
  <si>
    <r>
      <t xml:space="preserve">Restricted (dynamic*) axle capacity (kg) - </t>
    </r>
    <r>
      <rPr>
        <sz val="10"/>
        <color rgb="FFFF0000"/>
        <rFont val="Arial Narrow"/>
        <family val="2"/>
      </rPr>
      <t xml:space="preserve">Occasional </t>
    </r>
    <r>
      <rPr>
        <sz val="10"/>
        <rFont val="Arial Narrow"/>
        <family val="2"/>
      </rPr>
      <t>Usage</t>
    </r>
  </si>
  <si>
    <r>
      <t xml:space="preserve">Axle class </t>
    </r>
    <r>
      <rPr>
        <b/>
        <sz val="10"/>
        <rFont val="Arial Narrow"/>
        <family val="2"/>
      </rPr>
      <t>HD FRONT</t>
    </r>
  </si>
  <si>
    <t>Ratio</t>
  </si>
  <si>
    <t>26,4 (4,4X6)</t>
  </si>
  <si>
    <t>Differential lock</t>
  </si>
  <si>
    <t>Type 4WD</t>
  </si>
  <si>
    <t>PIN TYPE</t>
  </si>
  <si>
    <t>Method of engagement 4WD</t>
  </si>
  <si>
    <t>Electrohydraulic</t>
  </si>
  <si>
    <t>Axle capacity (kg)</t>
  </si>
  <si>
    <t>Standard (18.4R30)</t>
  </si>
  <si>
    <t>Heavy Duty (18.4R34)</t>
  </si>
  <si>
    <r>
      <t xml:space="preserve">Axle class </t>
    </r>
    <r>
      <rPr>
        <b/>
        <sz val="10"/>
        <rFont val="Arial Narrow"/>
        <family val="2"/>
      </rPr>
      <t>FRONT</t>
    </r>
  </si>
  <si>
    <r>
      <t>Axle class</t>
    </r>
    <r>
      <rPr>
        <b/>
        <sz val="10"/>
        <rFont val="Arial Narrow"/>
        <family val="2"/>
      </rPr>
      <t xml:space="preserve"> REAR</t>
    </r>
  </si>
  <si>
    <t>8/18X1.5 330nm</t>
  </si>
  <si>
    <t>6/16X1.5 220nm</t>
  </si>
  <si>
    <t>1460</t>
  </si>
  <si>
    <t>220.8</t>
  </si>
  <si>
    <t>40 km 360/70/R20</t>
  </si>
  <si>
    <t>,nn</t>
  </si>
  <si>
    <t>T 5.100 EC</t>
  </si>
  <si>
    <t>T5.110 EC</t>
  </si>
  <si>
    <t>T5.120 EC</t>
  </si>
  <si>
    <t>EC</t>
  </si>
  <si>
    <t>T5.100</t>
  </si>
  <si>
    <t>T5.110</t>
  </si>
  <si>
    <t>T5.120</t>
  </si>
  <si>
    <t>Weight - 4WD Axle (Cab, Less Ballast)</t>
  </si>
  <si>
    <t>On front axle (kg)</t>
  </si>
  <si>
    <t>On rear axle (kg)</t>
  </si>
  <si>
    <t>Total weight (kg)</t>
  </si>
  <si>
    <t>Maximum permissable weight front (kg)</t>
  </si>
  <si>
    <t>Maximum permissible weight rear (kg)</t>
  </si>
  <si>
    <t>Total Permissible weight (kg)</t>
  </si>
  <si>
    <t>On road</t>
  </si>
  <si>
    <t>On field</t>
  </si>
  <si>
    <t xml:space="preserve">Total Weight is made with 13.6R28 and 16.9R38 in unladen condition. Total Weight can be different tractot by tractor related to the several configuration available </t>
  </si>
  <si>
    <t>Undalen condition means tractor delivered from the plant without driver  and fuel  (driver =  80 Kg; Fuel tank = 165 liters+12 liter of Urea)</t>
  </si>
  <si>
    <t>T7.230</t>
  </si>
  <si>
    <t>T7.245</t>
  </si>
  <si>
    <t>T7.230 SS</t>
  </si>
  <si>
    <t>T7.245 SS</t>
  </si>
  <si>
    <t>T7.230 SUS</t>
  </si>
  <si>
    <t>T7.245 SUS</t>
  </si>
  <si>
    <t>T7.175</t>
  </si>
  <si>
    <t>T7.190</t>
  </si>
  <si>
    <t>T7.225</t>
  </si>
  <si>
    <t>T7.175 SS</t>
  </si>
  <si>
    <t>T7.190 SS</t>
  </si>
  <si>
    <t>T7.225 SS</t>
  </si>
  <si>
    <t>T7.175 SUS</t>
  </si>
  <si>
    <t>T7.190 SUS</t>
  </si>
  <si>
    <t>T6.125</t>
  </si>
  <si>
    <t>T6.145</t>
  </si>
  <si>
    <t>T6.180</t>
  </si>
  <si>
    <t>T6.125/ T6.145</t>
  </si>
  <si>
    <t>1882</t>
  </si>
  <si>
    <t>12/20X1.5</t>
  </si>
  <si>
    <t>T7.290</t>
  </si>
  <si>
    <t>T7.315</t>
  </si>
  <si>
    <t>TD4.70F</t>
  </si>
  <si>
    <t>TD4.80F</t>
  </si>
  <si>
    <t>TD4.90F</t>
  </si>
  <si>
    <t>30 KM</t>
  </si>
  <si>
    <t>40 KM</t>
  </si>
  <si>
    <t>150/221</t>
  </si>
  <si>
    <t>203,2/275</t>
  </si>
  <si>
    <t>150 Ankara productie</t>
  </si>
  <si>
    <t>221 Jesi Productie</t>
  </si>
  <si>
    <t>T5 UTL</t>
  </si>
  <si>
    <t>T5 UTL 1.5 FA</t>
  </si>
  <si>
    <t>Δ</t>
  </si>
  <si>
    <t>4WD FA Unrestricted Capacity</t>
  </si>
  <si>
    <t>2900 kg*</t>
  </si>
  <si>
    <t>3000 kg</t>
  </si>
  <si>
    <t>+ 100 kg</t>
  </si>
  <si>
    <t>4WD FA Restricted Capacity</t>
  </si>
  <si>
    <t>4700 kg*</t>
  </si>
  <si>
    <t>5200 kg</t>
  </si>
  <si>
    <t>+ 500 kg</t>
  </si>
  <si>
    <t>GVW</t>
  </si>
  <si>
    <t>6200 kg*</t>
  </si>
  <si>
    <t>6500 kg</t>
  </si>
  <si>
    <t>+ 300 kg</t>
  </si>
  <si>
    <t>Front Axle Across Flange Width</t>
  </si>
  <si>
    <t>1584 mm</t>
  </si>
  <si>
    <t>1784 mm</t>
  </si>
  <si>
    <t>+ 200 mm</t>
  </si>
  <si>
    <t>Rear Axle Across Flange Width</t>
  </si>
  <si>
    <t>1570 mm</t>
  </si>
  <si>
    <t>1770 mm</t>
  </si>
  <si>
    <t>Rear Tires Index Radius</t>
  </si>
  <si>
    <t>675/700/750 mm</t>
  </si>
  <si>
    <t>750 mm Only</t>
  </si>
  <si>
    <t>Alle transmissies</t>
  </si>
  <si>
    <t>AC</t>
  </si>
  <si>
    <t>AC/DC</t>
  </si>
  <si>
    <t>T4.80 N</t>
  </si>
  <si>
    <t>T4.90 N</t>
  </si>
  <si>
    <t>T4.100 N</t>
  </si>
  <si>
    <t>T4.110 N</t>
  </si>
  <si>
    <t>T4.80 V</t>
  </si>
  <si>
    <t>T4.90 V</t>
  </si>
  <si>
    <t>T4.100 V</t>
  </si>
  <si>
    <t>T4.110 V</t>
  </si>
  <si>
    <t>T4.80 F</t>
  </si>
  <si>
    <t>T4.100 F</t>
  </si>
  <si>
    <t>T4.90 F</t>
  </si>
  <si>
    <t>T4.110 F</t>
  </si>
  <si>
    <t>20""</t>
  </si>
  <si>
    <t>T4.80 N SS</t>
  </si>
  <si>
    <t>T4.90 N SS</t>
  </si>
  <si>
    <t>T4.100 N SS</t>
  </si>
  <si>
    <t>T4.110 N SS</t>
  </si>
  <si>
    <t>1155</t>
  </si>
  <si>
    <t>T4.80 FSS</t>
  </si>
  <si>
    <t>T4.90 F SS</t>
  </si>
  <si>
    <t>T4.100 F SS</t>
  </si>
  <si>
    <t>T4.110 F SS</t>
  </si>
  <si>
    <t>1265/1271</t>
  </si>
  <si>
    <t>VOOR/20""</t>
  </si>
  <si>
    <t>1325</t>
  </si>
  <si>
    <t>1315</t>
  </si>
  <si>
    <t>T5.85</t>
  </si>
  <si>
    <t>T5.75</t>
  </si>
  <si>
    <t>SS</t>
  </si>
  <si>
    <r>
      <t xml:space="preserve">1570 </t>
    </r>
    <r>
      <rPr>
        <b/>
        <sz val="10"/>
        <rFont val="Arial"/>
        <family val="2"/>
      </rPr>
      <t>ST/HD</t>
    </r>
  </si>
  <si>
    <t>T5.210</t>
  </si>
  <si>
    <t>T5.130</t>
  </si>
  <si>
    <t>1788</t>
  </si>
  <si>
    <t>VOOR (cl1,1)</t>
  </si>
  <si>
    <t>VOOR (cl1,5) LA</t>
  </si>
  <si>
    <t>4WD Large Axle 1.5  (for 34" and 13.6R38 rear tyre only)</t>
  </si>
  <si>
    <t>Interaxle ratio @ 30kph</t>
  </si>
  <si>
    <t xml:space="preserve">Interaxle ratio @ 40kph (with bevel gears for 24" 30" and 36" rear tires)   </t>
  </si>
  <si>
    <r>
      <t xml:space="preserve">Interaxle ratio @ 40kph </t>
    </r>
    <r>
      <rPr>
        <sz val="10"/>
        <color rgb="FFFF0000"/>
        <rFont val="Arial Narrow"/>
        <family val="2"/>
      </rPr>
      <t xml:space="preserve">(with bevel gears for 34" and 38" rear tires)   </t>
    </r>
  </si>
  <si>
    <t xml:space="preserve">4WD Axle HEAVY DUTY </t>
  </si>
  <si>
    <t>FARMALL 85C</t>
  </si>
  <si>
    <t>FARMALL 95C</t>
  </si>
  <si>
    <t>FARMALL 105C</t>
  </si>
  <si>
    <t>FARMALL 115C</t>
  </si>
  <si>
    <t>KOMPAKT 4075</t>
  </si>
  <si>
    <t>KOMPAKT 4085</t>
  </si>
  <si>
    <t>KOMPAKT 4095</t>
  </si>
  <si>
    <t>KOMPAKT 4105</t>
  </si>
  <si>
    <t>KOMPAKT 4115</t>
  </si>
  <si>
    <t>Axle Class</t>
  </si>
  <si>
    <t>Axle class</t>
  </si>
  <si>
    <t>Restricted (dynamic*) axle capacity (kg)</t>
  </si>
  <si>
    <t>Dimension Across Flange (mm)</t>
  </si>
  <si>
    <t>Oscillation (°)</t>
  </si>
  <si>
    <t>11 (9 with limitator)</t>
  </si>
  <si>
    <t>Maximum axle steering angle (°)</t>
  </si>
  <si>
    <t>Camber angle (°)</t>
  </si>
  <si>
    <t>Caster angle (°)</t>
  </si>
  <si>
    <t>Type of differential lock</t>
  </si>
  <si>
    <t xml:space="preserve">LIM SLIP or hyd diff lock </t>
  </si>
  <si>
    <t>Front brakes</t>
  </si>
  <si>
    <t>yes as opt</t>
  </si>
  <si>
    <t>A</t>
  </si>
  <si>
    <t>Dia. of clearance hole (mm)</t>
  </si>
  <si>
    <t>B</t>
  </si>
  <si>
    <t>Dia. to studs (mm)</t>
  </si>
  <si>
    <t>C</t>
  </si>
  <si>
    <t>Number of studs</t>
  </si>
  <si>
    <t>Diameter of studs (mm)</t>
  </si>
  <si>
    <t>M16 x 1,5</t>
  </si>
  <si>
    <t>Torque (Nm)</t>
  </si>
  <si>
    <t>D</t>
  </si>
  <si>
    <t>Turning radius w/o brakes (mm)</t>
  </si>
  <si>
    <r>
      <rPr>
        <sz val="10"/>
        <color rgb="FFFF0000"/>
        <rFont val="Arial Narrow"/>
        <family val="2"/>
      </rPr>
      <t>4235</t>
    </r>
    <r>
      <rPr>
        <sz val="10"/>
        <rFont val="Arial Narrow"/>
        <family val="2"/>
      </rPr>
      <t xml:space="preserve"> with 12.4R24 front tyres and track of 1750 mm@ 51° steering angle</t>
    </r>
  </si>
  <si>
    <t>E</t>
  </si>
  <si>
    <t>Turnaround diameter w/o brakes (mm)</t>
  </si>
  <si>
    <r>
      <rPr>
        <sz val="10"/>
        <color rgb="FFFF0000"/>
        <rFont val="Arial Narrow"/>
        <family val="2"/>
      </rPr>
      <t>5170</t>
    </r>
    <r>
      <rPr>
        <sz val="10"/>
        <rFont val="Arial Narrow"/>
        <family val="2"/>
      </rPr>
      <t xml:space="preserve"> with 12.4R24 front tyres and track of 1750 mm@ 51° steering angle</t>
    </r>
  </si>
  <si>
    <t>2020 - 01 New Bevel Gear up to 40Km/h for 24” and 28” tires</t>
  </si>
  <si>
    <t>Brand:</t>
  </si>
  <si>
    <t>NH</t>
  </si>
  <si>
    <t>CIH</t>
  </si>
  <si>
    <t>Series:</t>
  </si>
  <si>
    <t>T4.XXX Speciality T4A</t>
  </si>
  <si>
    <t>FARMALL Speciality T4A</t>
  </si>
  <si>
    <t>QUANTUM</t>
  </si>
  <si>
    <t>Models:</t>
  </si>
  <si>
    <t>T4.xxx N</t>
  </si>
  <si>
    <t>Quantum xxx N</t>
  </si>
  <si>
    <t>Concern:</t>
  </si>
  <si>
    <t>For those units fitted with Standard axle only is it possible to install a new bevel gear in other to travel up to 40 km/h depending on rear tyres.</t>
  </si>
  <si>
    <t>Action:</t>
  </si>
  <si>
    <t>Update ADIC Software to version 1.3.0.0., It is needed to perform the wheel circumference calibration by means of the dedicated setup menu on the ADIC.</t>
  </si>
  <si>
    <r>
      <t xml:space="preserve">Install the new bevel gear P/N 87664468 , new Mechanical Ratio </t>
    </r>
    <r>
      <rPr>
        <sz val="10"/>
        <color rgb="FFFF0000"/>
        <rFont val="MS Sans Serif"/>
      </rPr>
      <t>is 1.483</t>
    </r>
  </si>
  <si>
    <t>T5.140</t>
  </si>
  <si>
    <t>DC</t>
  </si>
  <si>
    <t>T8.320</t>
  </si>
  <si>
    <t>T8.350</t>
  </si>
  <si>
    <t>T8.380</t>
  </si>
  <si>
    <t>T8.410</t>
  </si>
  <si>
    <t>T8.435</t>
  </si>
  <si>
    <t>VOOR/wide</t>
  </si>
  <si>
    <t>1882/2187</t>
  </si>
  <si>
    <t>370,7</t>
  </si>
  <si>
    <t>1.32204/1.32454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</si>
</sst>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_-[$€]* #,##0.00_-;\-[$€]* #,##0.00_-;_-[$€]* &quot;-&quot;??_-;_-@_-"/>
  </numFmts>
  <fonts count="37" x14ac:knownFonts="1">
    <font>
      <sz val="10"/>
      <name val="MS Sans Serif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4"/>
      <name val="Arial"/>
      <family val="2"/>
    </font>
    <font>
      <b/>
      <sz val="10"/>
      <color indexed="56"/>
      <name val="Arial"/>
      <family val="2"/>
    </font>
    <font>
      <b/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color rgb="FFFF0000"/>
      <name val="MS Sans Serif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b/>
      <sz val="10"/>
      <name val="Arial Narrow"/>
      <family val="2"/>
    </font>
    <font>
      <b/>
      <sz val="10"/>
      <color theme="4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  <font>
      <b/>
      <sz val="10"/>
      <color indexed="12"/>
      <name val="Arial Narrow"/>
      <family val="2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FF0000"/>
      <name val="MS Sans Serif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Dashed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Dashed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Dashed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6" fontId="1" fillId="0" borderId="0"/>
  </cellStyleXfs>
  <cellXfs count="39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0" borderId="4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13" fillId="0" borderId="4" xfId="0" applyFont="1" applyBorder="1"/>
    <xf numFmtId="0" fontId="13" fillId="0" borderId="10" xfId="0" applyFont="1" applyBorder="1"/>
    <xf numFmtId="0" fontId="0" fillId="0" borderId="10" xfId="0" applyBorder="1"/>
    <xf numFmtId="0" fontId="0" fillId="0" borderId="11" xfId="0" applyBorder="1"/>
    <xf numFmtId="49" fontId="7" fillId="0" borderId="2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49" fontId="7" fillId="0" borderId="6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49" fontId="7" fillId="0" borderId="13" xfId="0" applyNumberFormat="1" applyFont="1" applyBorder="1" applyAlignment="1">
      <alignment horizontal="left"/>
    </xf>
    <xf numFmtId="49" fontId="7" fillId="0" borderId="9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49" fontId="7" fillId="0" borderId="11" xfId="0" applyNumberFormat="1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6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49" fontId="1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49" fontId="7" fillId="0" borderId="14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49" fontId="9" fillId="0" borderId="13" xfId="0" applyNumberFormat="1" applyFont="1" applyBorder="1" applyAlignment="1">
      <alignment horizontal="left"/>
    </xf>
    <xf numFmtId="3" fontId="1" fillId="0" borderId="13" xfId="0" applyNumberFormat="1" applyFont="1" applyBorder="1" applyAlignment="1">
      <alignment horizontal="left"/>
    </xf>
    <xf numFmtId="164" fontId="3" fillId="0" borderId="5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0" borderId="15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49" fontId="9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0" fillId="0" borderId="8" xfId="0" applyBorder="1"/>
    <xf numFmtId="0" fontId="0" fillId="0" borderId="14" xfId="0" applyBorder="1"/>
    <xf numFmtId="0" fontId="0" fillId="0" borderId="1" xfId="0" applyBorder="1"/>
    <xf numFmtId="0" fontId="2" fillId="0" borderId="2" xfId="0" applyFont="1" applyBorder="1"/>
    <xf numFmtId="0" fontId="2" fillId="0" borderId="0" xfId="0" applyFont="1"/>
    <xf numFmtId="0" fontId="13" fillId="0" borderId="0" xfId="0" applyFont="1"/>
    <xf numFmtId="0" fontId="3" fillId="0" borderId="2" xfId="0" applyFont="1" applyBorder="1"/>
    <xf numFmtId="49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1" fillId="0" borderId="12" xfId="0" applyNumberFormat="1" applyFont="1" applyBorder="1" applyAlignment="1">
      <alignment horizontal="left"/>
    </xf>
    <xf numFmtId="0" fontId="13" fillId="2" borderId="0" xfId="0" applyFont="1" applyFill="1"/>
    <xf numFmtId="0" fontId="4" fillId="2" borderId="4" xfId="0" applyFont="1" applyFill="1" applyBorder="1" applyAlignment="1">
      <alignment horizontal="left"/>
    </xf>
    <xf numFmtId="165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65" fontId="1" fillId="2" borderId="0" xfId="0" applyNumberFormat="1" applyFont="1" applyFill="1" applyAlignment="1">
      <alignment horizontal="left"/>
    </xf>
    <xf numFmtId="165" fontId="1" fillId="2" borderId="3" xfId="0" applyNumberFormat="1" applyFont="1" applyFill="1" applyBorder="1" applyAlignment="1">
      <alignment horizontal="left"/>
    </xf>
    <xf numFmtId="165" fontId="1" fillId="2" borderId="4" xfId="0" applyNumberFormat="1" applyFont="1" applyFill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165" fontId="1" fillId="0" borderId="0" xfId="0" applyNumberFormat="1" applyFont="1" applyAlignment="1">
      <alignment horizontal="left"/>
    </xf>
    <xf numFmtId="0" fontId="0" fillId="2" borderId="0" xfId="0" applyFill="1"/>
    <xf numFmtId="49" fontId="1" fillId="2" borderId="4" xfId="0" applyNumberFormat="1" applyFont="1" applyFill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49" fontId="0" fillId="0" borderId="0" xfId="0" applyNumberFormat="1"/>
    <xf numFmtId="49" fontId="0" fillId="0" borderId="2" xfId="0" applyNumberFormat="1" applyBorder="1"/>
    <xf numFmtId="3" fontId="0" fillId="0" borderId="0" xfId="0" applyNumberFormat="1"/>
    <xf numFmtId="0" fontId="0" fillId="0" borderId="13" xfId="0" applyBorder="1"/>
    <xf numFmtId="49" fontId="10" fillId="0" borderId="3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3" borderId="18" xfId="1" applyFont="1" applyFill="1" applyBorder="1" applyAlignment="1">
      <alignment horizontal="center" vertical="center"/>
    </xf>
    <xf numFmtId="0" fontId="20" fillId="3" borderId="19" xfId="1" applyFont="1" applyFill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5" borderId="18" xfId="1" applyFont="1" applyFill="1" applyBorder="1" applyAlignment="1">
      <alignment horizontal="center" vertical="center"/>
    </xf>
    <xf numFmtId="0" fontId="20" fillId="5" borderId="19" xfId="1" applyFont="1" applyFill="1" applyBorder="1" applyAlignment="1">
      <alignment horizontal="center" vertical="center"/>
    </xf>
    <xf numFmtId="0" fontId="20" fillId="5" borderId="17" xfId="1" applyFont="1" applyFill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5" borderId="21" xfId="1" applyFont="1" applyFill="1" applyBorder="1" applyAlignment="1">
      <alignment horizontal="center" vertical="center"/>
    </xf>
    <xf numFmtId="0" fontId="20" fillId="5" borderId="22" xfId="1" applyFont="1" applyFill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3" fontId="20" fillId="0" borderId="24" xfId="1" applyNumberFormat="1" applyFont="1" applyBorder="1" applyAlignment="1">
      <alignment horizontal="center" vertical="center" shrinkToFit="1"/>
    </xf>
    <xf numFmtId="3" fontId="20" fillId="5" borderId="24" xfId="1" applyNumberFormat="1" applyFont="1" applyFill="1" applyBorder="1" applyAlignment="1">
      <alignment horizontal="center" vertical="center" shrinkToFit="1"/>
    </xf>
    <xf numFmtId="0" fontId="20" fillId="5" borderId="23" xfId="1" applyFont="1" applyFill="1" applyBorder="1" applyAlignment="1">
      <alignment horizontal="center" vertical="center"/>
    </xf>
    <xf numFmtId="0" fontId="20" fillId="3" borderId="17" xfId="1" applyFont="1" applyFill="1" applyBorder="1" applyAlignment="1">
      <alignment horizontal="center" vertical="center"/>
    </xf>
    <xf numFmtId="0" fontId="20" fillId="3" borderId="21" xfId="1" applyFont="1" applyFill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 shrinkToFit="1"/>
    </xf>
    <xf numFmtId="0" fontId="20" fillId="0" borderId="25" xfId="1" applyFont="1" applyBorder="1" applyAlignment="1">
      <alignment horizontal="center" vertical="center" shrinkToFit="1"/>
    </xf>
    <xf numFmtId="0" fontId="20" fillId="5" borderId="26" xfId="1" applyFont="1" applyFill="1" applyBorder="1" applyAlignment="1">
      <alignment horizontal="center" vertical="center" shrinkToFit="1"/>
    </xf>
    <xf numFmtId="0" fontId="20" fillId="5" borderId="25" xfId="1" applyFont="1" applyFill="1" applyBorder="1" applyAlignment="1">
      <alignment horizontal="center" vertical="center" shrinkToFit="1"/>
    </xf>
    <xf numFmtId="3" fontId="4" fillId="0" borderId="0" xfId="0" applyNumberFormat="1" applyFont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0" fillId="0" borderId="4" xfId="0" applyNumberFormat="1" applyBorder="1"/>
    <xf numFmtId="0" fontId="20" fillId="3" borderId="27" xfId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0" fillId="3" borderId="22" xfId="1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0" fillId="0" borderId="32" xfId="1" quotePrefix="1" applyFont="1" applyBorder="1" applyAlignment="1">
      <alignment vertical="center" wrapText="1"/>
    </xf>
    <xf numFmtId="0" fontId="20" fillId="0" borderId="33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20" fillId="0" borderId="36" xfId="1" applyFont="1" applyBorder="1" applyAlignment="1">
      <alignment horizontal="center" vertical="center"/>
    </xf>
    <xf numFmtId="0" fontId="20" fillId="0" borderId="37" xfId="1" applyFont="1" applyBorder="1" applyAlignment="1">
      <alignment vertical="center"/>
    </xf>
    <xf numFmtId="0" fontId="20" fillId="0" borderId="38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/>
    </xf>
    <xf numFmtId="0" fontId="20" fillId="0" borderId="40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0" borderId="42" xfId="1" applyFont="1" applyBorder="1" applyAlignment="1">
      <alignment horizontal="center" vertical="center"/>
    </xf>
    <xf numFmtId="0" fontId="20" fillId="0" borderId="43" xfId="1" applyFont="1" applyBorder="1" applyAlignment="1">
      <alignment vertical="center"/>
    </xf>
    <xf numFmtId="0" fontId="20" fillId="4" borderId="40" xfId="1" applyFont="1" applyFill="1" applyBorder="1" applyAlignment="1">
      <alignment horizontal="center" vertical="center"/>
    </xf>
    <xf numFmtId="0" fontId="20" fillId="4" borderId="41" xfId="1" applyFont="1" applyFill="1" applyBorder="1" applyAlignment="1">
      <alignment horizontal="center" vertical="center"/>
    </xf>
    <xf numFmtId="0" fontId="20" fillId="4" borderId="42" xfId="1" applyFont="1" applyFill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0" fillId="3" borderId="44" xfId="1" applyFont="1" applyFill="1" applyBorder="1" applyAlignment="1">
      <alignment horizontal="center" vertical="center"/>
    </xf>
    <xf numFmtId="0" fontId="20" fillId="0" borderId="45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0" fontId="20" fillId="4" borderId="26" xfId="1" applyFont="1" applyFill="1" applyBorder="1" applyAlignment="1">
      <alignment horizontal="center" vertical="center"/>
    </xf>
    <xf numFmtId="0" fontId="20" fillId="4" borderId="25" xfId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24" fillId="0" borderId="3" xfId="0" applyFont="1" applyBorder="1" applyAlignment="1">
      <alignment horizontal="left"/>
    </xf>
    <xf numFmtId="0" fontId="25" fillId="0" borderId="0" xfId="0" applyFont="1"/>
    <xf numFmtId="0" fontId="7" fillId="0" borderId="16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49" fontId="1" fillId="0" borderId="30" xfId="0" applyNumberFormat="1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49" fontId="7" fillId="0" borderId="30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7" xfId="0" applyFont="1" applyBorder="1" applyAlignment="1">
      <alignment horizontal="left"/>
    </xf>
    <xf numFmtId="49" fontId="1" fillId="0" borderId="47" xfId="0" applyNumberFormat="1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49" fontId="7" fillId="0" borderId="47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8" fillId="6" borderId="30" xfId="0" applyFont="1" applyFill="1" applyBorder="1"/>
    <xf numFmtId="0" fontId="1" fillId="0" borderId="1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6" fillId="6" borderId="30" xfId="0" applyFont="1" applyFill="1" applyBorder="1" applyAlignment="1">
      <alignment horizontal="left" vertical="center" wrapText="1"/>
    </xf>
    <xf numFmtId="0" fontId="4" fillId="0" borderId="60" xfId="0" applyFont="1" applyBorder="1" applyAlignment="1">
      <alignment horizontal="center" vertical="center"/>
    </xf>
    <xf numFmtId="0" fontId="4" fillId="0" borderId="2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3" fontId="0" fillId="0" borderId="3" xfId="0" applyNumberFormat="1" applyBorder="1"/>
    <xf numFmtId="49" fontId="1" fillId="0" borderId="13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3" fontId="1" fillId="0" borderId="10" xfId="0" applyNumberFormat="1" applyFont="1" applyBorder="1" applyAlignment="1">
      <alignment horizontal="left"/>
    </xf>
    <xf numFmtId="3" fontId="0" fillId="0" borderId="9" xfId="0" applyNumberFormat="1" applyBorder="1"/>
    <xf numFmtId="0" fontId="15" fillId="0" borderId="0" xfId="0" applyFont="1"/>
    <xf numFmtId="0" fontId="13" fillId="0" borderId="1" xfId="0" applyFont="1" applyBorder="1"/>
    <xf numFmtId="0" fontId="15" fillId="0" borderId="3" xfId="0" applyFont="1" applyBorder="1"/>
    <xf numFmtId="3" fontId="0" fillId="0" borderId="10" xfId="0" applyNumberFormat="1" applyBorder="1"/>
    <xf numFmtId="0" fontId="3" fillId="0" borderId="30" xfId="0" applyFont="1" applyBorder="1" applyAlignment="1">
      <alignment horizontal="left"/>
    </xf>
    <xf numFmtId="49" fontId="3" fillId="0" borderId="30" xfId="0" applyNumberFormat="1" applyFont="1" applyBorder="1" applyAlignment="1">
      <alignment horizontal="left"/>
    </xf>
    <xf numFmtId="0" fontId="0" fillId="0" borderId="30" xfId="0" applyBorder="1"/>
    <xf numFmtId="0" fontId="1" fillId="0" borderId="67" xfId="0" applyFont="1" applyBorder="1" applyAlignment="1">
      <alignment horizontal="left"/>
    </xf>
    <xf numFmtId="49" fontId="7" fillId="0" borderId="65" xfId="0" applyNumberFormat="1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0" fillId="0" borderId="30" xfId="0" applyFont="1" applyBorder="1" applyAlignment="1">
      <alignment vertical="center"/>
    </xf>
    <xf numFmtId="3" fontId="1" fillId="0" borderId="30" xfId="0" applyNumberFormat="1" applyFont="1" applyBorder="1" applyAlignment="1">
      <alignment horizontal="left"/>
    </xf>
    <xf numFmtId="166" fontId="32" fillId="7" borderId="71" xfId="2" applyFont="1" applyFill="1" applyBorder="1" applyAlignment="1">
      <alignment horizontal="center"/>
    </xf>
    <xf numFmtId="166" fontId="32" fillId="7" borderId="72" xfId="2" applyFont="1" applyFill="1" applyBorder="1" applyAlignment="1">
      <alignment horizontal="center"/>
    </xf>
    <xf numFmtId="166" fontId="33" fillId="8" borderId="30" xfId="2" applyFont="1" applyFill="1" applyBorder="1" applyAlignment="1">
      <alignment horizontal="center"/>
    </xf>
    <xf numFmtId="166" fontId="33" fillId="7" borderId="30" xfId="2" applyFont="1" applyFill="1" applyBorder="1" applyAlignment="1">
      <alignment horizontal="center"/>
    </xf>
    <xf numFmtId="166" fontId="33" fillId="7" borderId="31" xfId="2" applyFont="1" applyFill="1" applyBorder="1" applyAlignment="1">
      <alignment horizontal="center"/>
    </xf>
    <xf numFmtId="166" fontId="34" fillId="7" borderId="30" xfId="2" applyFont="1" applyFill="1" applyBorder="1" applyAlignment="1">
      <alignment horizontal="center"/>
    </xf>
    <xf numFmtId="166" fontId="34" fillId="7" borderId="31" xfId="2" applyFont="1" applyFill="1" applyBorder="1" applyAlignment="1">
      <alignment horizontal="center"/>
    </xf>
    <xf numFmtId="0" fontId="26" fillId="6" borderId="29" xfId="2" applyNumberFormat="1" applyFont="1" applyFill="1" applyBorder="1" applyAlignment="1">
      <alignment vertical="center"/>
    </xf>
    <xf numFmtId="0" fontId="31" fillId="6" borderId="30" xfId="2" applyNumberFormat="1" applyFont="1" applyFill="1" applyBorder="1" applyAlignment="1">
      <alignment horizontal="center" vertical="center" wrapText="1"/>
    </xf>
    <xf numFmtId="0" fontId="26" fillId="7" borderId="30" xfId="2" applyNumberFormat="1" applyFont="1" applyFill="1" applyBorder="1" applyAlignment="1">
      <alignment vertical="center"/>
    </xf>
    <xf numFmtId="0" fontId="26" fillId="6" borderId="31" xfId="2" applyNumberFormat="1" applyFont="1" applyFill="1" applyBorder="1" applyAlignment="1">
      <alignment vertical="center"/>
    </xf>
    <xf numFmtId="0" fontId="26" fillId="6" borderId="29" xfId="2" applyNumberFormat="1" applyFont="1" applyFill="1" applyBorder="1" applyAlignment="1">
      <alignment horizontal="center" vertical="center"/>
    </xf>
    <xf numFmtId="0" fontId="26" fillId="7" borderId="29" xfId="2" applyNumberFormat="1" applyFont="1" applyFill="1" applyBorder="1" applyAlignment="1">
      <alignment horizontal="center" vertical="center"/>
    </xf>
    <xf numFmtId="0" fontId="26" fillId="7" borderId="73" xfId="2" applyNumberFormat="1" applyFont="1" applyFill="1" applyBorder="1" applyAlignment="1">
      <alignment horizontal="center" vertical="center"/>
    </xf>
    <xf numFmtId="0" fontId="26" fillId="6" borderId="0" xfId="0" applyFont="1" applyFill="1" applyAlignment="1">
      <alignment horizontal="left" vertical="center" wrapText="1"/>
    </xf>
    <xf numFmtId="0" fontId="0" fillId="2" borderId="30" xfId="0" applyFill="1" applyBorder="1" applyAlignment="1">
      <alignment horizontal="center" vertical="center"/>
    </xf>
    <xf numFmtId="0" fontId="36" fillId="0" borderId="0" xfId="0" applyFont="1"/>
    <xf numFmtId="49" fontId="6" fillId="0" borderId="30" xfId="0" applyNumberFormat="1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49" fontId="9" fillId="0" borderId="30" xfId="0" applyNumberFormat="1" applyFont="1" applyBorder="1" applyAlignment="1">
      <alignment horizontal="left"/>
    </xf>
    <xf numFmtId="0" fontId="0" fillId="0" borderId="30" xfId="0" applyBorder="1" applyAlignment="1">
      <alignment horizontal="center"/>
    </xf>
    <xf numFmtId="0" fontId="16" fillId="0" borderId="14" xfId="0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0" fontId="27" fillId="6" borderId="29" xfId="2" applyNumberFormat="1" applyFont="1" applyFill="1" applyBorder="1" applyAlignment="1">
      <alignment horizontal="left" vertical="center" wrapText="1"/>
    </xf>
    <xf numFmtId="0" fontId="27" fillId="6" borderId="30" xfId="2" applyNumberFormat="1" applyFont="1" applyFill="1" applyBorder="1" applyAlignment="1">
      <alignment horizontal="left" vertical="center" wrapText="1"/>
    </xf>
    <xf numFmtId="0" fontId="27" fillId="0" borderId="30" xfId="2" applyNumberFormat="1" applyFont="1" applyBorder="1" applyAlignment="1">
      <alignment horizontal="left" vertical="top"/>
    </xf>
    <xf numFmtId="0" fontId="27" fillId="0" borderId="31" xfId="2" applyNumberFormat="1" applyFont="1" applyBorder="1" applyAlignment="1">
      <alignment horizontal="left" vertical="top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6" fillId="6" borderId="29" xfId="2" applyNumberFormat="1" applyFont="1" applyFill="1" applyBorder="1" applyAlignment="1">
      <alignment horizontal="left" vertical="center"/>
    </xf>
    <xf numFmtId="0" fontId="26" fillId="6" borderId="30" xfId="2" applyNumberFormat="1" applyFont="1" applyFill="1" applyBorder="1" applyAlignment="1">
      <alignment horizontal="left" vertical="center"/>
    </xf>
    <xf numFmtId="0" fontId="26" fillId="6" borderId="29" xfId="2" applyNumberFormat="1" applyFont="1" applyFill="1" applyBorder="1" applyAlignment="1">
      <alignment horizontal="left" vertical="center" wrapText="1"/>
    </xf>
    <xf numFmtId="0" fontId="26" fillId="6" borderId="30" xfId="2" applyNumberFormat="1" applyFont="1" applyFill="1" applyBorder="1" applyAlignment="1">
      <alignment horizontal="left" vertical="center" wrapText="1"/>
    </xf>
    <xf numFmtId="0" fontId="27" fillId="0" borderId="65" xfId="2" applyNumberFormat="1" applyFont="1" applyBorder="1" applyAlignment="1">
      <alignment horizontal="left" vertical="top"/>
    </xf>
    <xf numFmtId="0" fontId="27" fillId="0" borderId="66" xfId="2" applyNumberFormat="1" applyFont="1" applyBorder="1" applyAlignment="1">
      <alignment horizontal="left" vertical="top"/>
    </xf>
    <xf numFmtId="0" fontId="27" fillId="0" borderId="69" xfId="2" applyNumberFormat="1" applyFont="1" applyBorder="1" applyAlignment="1">
      <alignment horizontal="left" vertical="top"/>
    </xf>
    <xf numFmtId="0" fontId="31" fillId="6" borderId="70" xfId="2" applyNumberFormat="1" applyFont="1" applyFill="1" applyBorder="1" applyAlignment="1">
      <alignment horizontal="center" vertical="center" wrapText="1"/>
    </xf>
    <xf numFmtId="0" fontId="31" fillId="6" borderId="71" xfId="2" applyNumberFormat="1" applyFont="1" applyFill="1" applyBorder="1" applyAlignment="1">
      <alignment horizontal="center" vertical="center" wrapText="1"/>
    </xf>
    <xf numFmtId="0" fontId="31" fillId="6" borderId="29" xfId="2" applyNumberFormat="1" applyFont="1" applyFill="1" applyBorder="1" applyAlignment="1">
      <alignment horizontal="center" vertical="center" wrapText="1"/>
    </xf>
    <xf numFmtId="0" fontId="31" fillId="6" borderId="30" xfId="2" applyNumberFormat="1" applyFont="1" applyFill="1" applyBorder="1" applyAlignment="1">
      <alignment horizontal="center" vertical="center" wrapText="1"/>
    </xf>
    <xf numFmtId="0" fontId="26" fillId="7" borderId="30" xfId="2" applyNumberFormat="1" applyFont="1" applyFill="1" applyBorder="1" applyAlignment="1">
      <alignment horizontal="center" vertical="center"/>
    </xf>
    <xf numFmtId="0" fontId="26" fillId="7" borderId="31" xfId="2" applyNumberFormat="1" applyFont="1" applyFill="1" applyBorder="1" applyAlignment="1">
      <alignment horizontal="center" vertical="center"/>
    </xf>
    <xf numFmtId="0" fontId="35" fillId="6" borderId="29" xfId="2" applyNumberFormat="1" applyFont="1" applyFill="1" applyBorder="1" applyAlignment="1">
      <alignment horizontal="left" vertical="center"/>
    </xf>
    <xf numFmtId="0" fontId="35" fillId="6" borderId="30" xfId="2" applyNumberFormat="1" applyFont="1" applyFill="1" applyBorder="1" applyAlignment="1">
      <alignment horizontal="left" vertical="center"/>
    </xf>
    <xf numFmtId="0" fontId="26" fillId="6" borderId="29" xfId="2" applyNumberFormat="1" applyFont="1" applyFill="1" applyBorder="1" applyAlignment="1">
      <alignment horizontal="left"/>
    </xf>
    <xf numFmtId="0" fontId="26" fillId="6" borderId="30" xfId="2" applyNumberFormat="1" applyFont="1" applyFill="1" applyBorder="1" applyAlignment="1">
      <alignment horizontal="left"/>
    </xf>
    <xf numFmtId="0" fontId="26" fillId="0" borderId="65" xfId="2" applyNumberFormat="1" applyFont="1" applyBorder="1" applyAlignment="1">
      <alignment horizontal="center" vertical="center"/>
    </xf>
    <xf numFmtId="0" fontId="26" fillId="0" borderId="66" xfId="2" applyNumberFormat="1" applyFont="1" applyBorder="1" applyAlignment="1">
      <alignment horizontal="center" vertical="center"/>
    </xf>
    <xf numFmtId="0" fontId="26" fillId="0" borderId="69" xfId="2" applyNumberFormat="1" applyFont="1" applyBorder="1" applyAlignment="1">
      <alignment horizontal="center" vertical="center"/>
    </xf>
    <xf numFmtId="0" fontId="27" fillId="0" borderId="30" xfId="2" applyNumberFormat="1" applyFont="1" applyBorder="1" applyAlignment="1">
      <alignment horizontal="center" vertical="center"/>
    </xf>
    <xf numFmtId="0" fontId="27" fillId="0" borderId="31" xfId="2" applyNumberFormat="1" applyFont="1" applyBorder="1" applyAlignment="1">
      <alignment horizontal="center" vertical="center"/>
    </xf>
    <xf numFmtId="0" fontId="27" fillId="6" borderId="29" xfId="2" applyNumberFormat="1" applyFont="1" applyFill="1" applyBorder="1" applyAlignment="1">
      <alignment horizontal="left" vertical="center"/>
    </xf>
    <xf numFmtId="0" fontId="27" fillId="6" borderId="30" xfId="2" applyNumberFormat="1" applyFont="1" applyFill="1" applyBorder="1" applyAlignment="1">
      <alignment horizontal="left" vertical="center"/>
    </xf>
    <xf numFmtId="0" fontId="27" fillId="0" borderId="65" xfId="2" applyNumberFormat="1" applyFont="1" applyBorder="1" applyAlignment="1">
      <alignment horizontal="center" vertical="center"/>
    </xf>
    <xf numFmtId="0" fontId="27" fillId="0" borderId="66" xfId="2" applyNumberFormat="1" applyFont="1" applyBorder="1" applyAlignment="1">
      <alignment horizontal="center" vertical="center"/>
    </xf>
    <xf numFmtId="0" fontId="27" fillId="0" borderId="69" xfId="2" applyNumberFormat="1" applyFont="1" applyBorder="1" applyAlignment="1">
      <alignment horizontal="center" vertical="center"/>
    </xf>
    <xf numFmtId="0" fontId="26" fillId="0" borderId="30" xfId="2" applyNumberFormat="1" applyFont="1" applyBorder="1" applyAlignment="1">
      <alignment horizontal="center" vertical="center"/>
    </xf>
    <xf numFmtId="0" fontId="26" fillId="0" borderId="31" xfId="2" applyNumberFormat="1" applyFont="1" applyBorder="1" applyAlignment="1">
      <alignment horizontal="center" vertical="center"/>
    </xf>
    <xf numFmtId="0" fontId="26" fillId="7" borderId="29" xfId="2" applyNumberFormat="1" applyFont="1" applyFill="1" applyBorder="1" applyAlignment="1">
      <alignment horizontal="center" vertical="center"/>
    </xf>
    <xf numFmtId="0" fontId="26" fillId="6" borderId="64" xfId="2" applyNumberFormat="1" applyFont="1" applyFill="1" applyBorder="1" applyAlignment="1">
      <alignment horizontal="left" vertical="center" wrapText="1"/>
    </xf>
    <xf numFmtId="0" fontId="26" fillId="0" borderId="64" xfId="2" applyNumberFormat="1" applyFont="1" applyBorder="1" applyAlignment="1">
      <alignment horizontal="center" vertical="center"/>
    </xf>
    <xf numFmtId="0" fontId="26" fillId="0" borderId="74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6" fillId="6" borderId="29" xfId="0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6" fillId="7" borderId="30" xfId="0" applyFont="1" applyFill="1" applyBorder="1" applyAlignment="1">
      <alignment horizontal="center" vertical="center"/>
    </xf>
    <xf numFmtId="0" fontId="26" fillId="7" borderId="31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left"/>
    </xf>
    <xf numFmtId="0" fontId="26" fillId="0" borderId="30" xfId="0" applyFont="1" applyBorder="1" applyAlignment="1">
      <alignment horizontal="center"/>
    </xf>
    <xf numFmtId="0" fontId="26" fillId="0" borderId="65" xfId="0" applyFont="1" applyBorder="1" applyAlignment="1">
      <alignment horizontal="center"/>
    </xf>
    <xf numFmtId="0" fontId="26" fillId="0" borderId="66" xfId="0" applyFont="1" applyBorder="1" applyAlignment="1">
      <alignment horizontal="center"/>
    </xf>
    <xf numFmtId="0" fontId="26" fillId="0" borderId="67" xfId="0" applyFont="1" applyBorder="1" applyAlignment="1">
      <alignment horizontal="center"/>
    </xf>
    <xf numFmtId="0" fontId="26" fillId="6" borderId="3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8" fillId="6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left" vertical="center"/>
    </xf>
    <xf numFmtId="0" fontId="26" fillId="7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6" fillId="7" borderId="30" xfId="0" applyFont="1" applyFill="1" applyBorder="1" applyAlignment="1">
      <alignment horizontal="center" vertical="center" wrapText="1"/>
    </xf>
    <xf numFmtId="0" fontId="26" fillId="7" borderId="65" xfId="0" applyFont="1" applyFill="1" applyBorder="1" applyAlignment="1">
      <alignment horizontal="center" vertical="center" wrapText="1"/>
    </xf>
    <xf numFmtId="0" fontId="26" fillId="7" borderId="66" xfId="0" applyFont="1" applyFill="1" applyBorder="1" applyAlignment="1">
      <alignment horizontal="center" vertical="center" wrapText="1"/>
    </xf>
    <xf numFmtId="0" fontId="26" fillId="7" borderId="67" xfId="0" applyFont="1" applyFill="1" applyBorder="1" applyAlignment="1">
      <alignment horizontal="center" vertical="center" wrapText="1"/>
    </xf>
    <xf numFmtId="0" fontId="20" fillId="6" borderId="68" xfId="0" applyFont="1" applyFill="1" applyBorder="1" applyAlignment="1">
      <alignment horizontal="left" vertical="center" wrapText="1"/>
    </xf>
    <xf numFmtId="0" fontId="26" fillId="6" borderId="65" xfId="0" applyFont="1" applyFill="1" applyBorder="1" applyAlignment="1">
      <alignment horizontal="left" vertical="center"/>
    </xf>
    <xf numFmtId="0" fontId="26" fillId="6" borderId="66" xfId="0" applyFont="1" applyFill="1" applyBorder="1" applyAlignment="1">
      <alignment horizontal="left" vertical="center"/>
    </xf>
    <xf numFmtId="0" fontId="26" fillId="6" borderId="67" xfId="0" applyFont="1" applyFill="1" applyBorder="1" applyAlignment="1">
      <alignment horizontal="left" vertical="center"/>
    </xf>
    <xf numFmtId="0" fontId="26" fillId="0" borderId="3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0" fillId="0" borderId="48" xfId="1" applyFont="1" applyBorder="1" applyAlignment="1">
      <alignment horizontal="center" vertical="center" wrapText="1"/>
    </xf>
    <xf numFmtId="0" fontId="20" fillId="0" borderId="49" xfId="1" applyFont="1" applyBorder="1" applyAlignment="1">
      <alignment horizontal="center" vertical="center"/>
    </xf>
    <xf numFmtId="0" fontId="20" fillId="0" borderId="50" xfId="1" applyFont="1" applyBorder="1" applyAlignment="1">
      <alignment horizontal="center" vertical="center"/>
    </xf>
    <xf numFmtId="0" fontId="20" fillId="0" borderId="30" xfId="1" quotePrefix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/>
    </xf>
    <xf numFmtId="0" fontId="20" fillId="0" borderId="51" xfId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4" fillId="0" borderId="5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55" xfId="1" applyFont="1" applyBorder="1" applyAlignment="1">
      <alignment horizontal="center" vertical="center"/>
    </xf>
    <xf numFmtId="0" fontId="20" fillId="0" borderId="56" xfId="1" applyFont="1" applyBorder="1" applyAlignment="1">
      <alignment horizontal="center" vertical="center"/>
    </xf>
    <xf numFmtId="0" fontId="20" fillId="0" borderId="57" xfId="1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20" fillId="0" borderId="63" xfId="1" applyFont="1" applyBorder="1" applyAlignment="1">
      <alignment horizontal="center" vertical="center"/>
    </xf>
    <xf numFmtId="0" fontId="20" fillId="0" borderId="32" xfId="1" quotePrefix="1" applyFont="1" applyBorder="1" applyAlignment="1">
      <alignment horizontal="center" vertical="center" wrapText="1"/>
    </xf>
    <xf numFmtId="0" fontId="20" fillId="0" borderId="37" xfId="1" quotePrefix="1" applyFont="1" applyBorder="1" applyAlignment="1">
      <alignment horizontal="center" vertical="center" wrapText="1"/>
    </xf>
    <xf numFmtId="0" fontId="20" fillId="0" borderId="43" xfId="1" quotePrefix="1" applyFont="1" applyBorder="1" applyAlignment="1">
      <alignment horizontal="center" vertical="center" wrapText="1"/>
    </xf>
    <xf numFmtId="0" fontId="20" fillId="0" borderId="64" xfId="1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</cellXfs>
  <cellStyles count="3">
    <cellStyle name="Normal_CCM F  S Manual issue 1" xfId="1" xr:uid="{00000000-0005-0000-0000-000001000000}"/>
    <cellStyle name="Normale 10 2 2" xfId="2" xr:uid="{4F33839A-92F3-44A5-9748-7F9BC87C0739}"/>
    <cellStyle name="Standa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4.png@01D0DE49.45F3F86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cid:image001.png@01D495F4.353E4820" TargetMode="External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85725</xdr:rowOff>
    </xdr:from>
    <xdr:to>
      <xdr:col>10</xdr:col>
      <xdr:colOff>561975</xdr:colOff>
      <xdr:row>30</xdr:row>
      <xdr:rowOff>142875</xdr:rowOff>
    </xdr:to>
    <xdr:pic>
      <xdr:nvPicPr>
        <xdr:cNvPr id="2" name="Picture 2" descr="cid:image004.png@01D0DE49.45F3F86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"/>
          <a:ext cx="6048375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22</xdr:row>
      <xdr:rowOff>95250</xdr:rowOff>
    </xdr:from>
    <xdr:to>
      <xdr:col>25</xdr:col>
      <xdr:colOff>390525</xdr:colOff>
      <xdr:row>48</xdr:row>
      <xdr:rowOff>57150</xdr:rowOff>
    </xdr:to>
    <xdr:pic>
      <xdr:nvPicPr>
        <xdr:cNvPr id="3" name="Picture 4" descr="cid:image001.png@01D495F4.353E482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3781425"/>
          <a:ext cx="8715375" cy="417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29</xdr:row>
      <xdr:rowOff>127649</xdr:rowOff>
    </xdr:from>
    <xdr:to>
      <xdr:col>10</xdr:col>
      <xdr:colOff>457200</xdr:colOff>
      <xdr:row>47</xdr:row>
      <xdr:rowOff>123363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00414-F630-4098-BDFD-DC1AA9947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4080524"/>
          <a:ext cx="6600825" cy="2910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15</xdr:col>
      <xdr:colOff>284540</xdr:colOff>
      <xdr:row>70</xdr:row>
      <xdr:rowOff>132929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18AC61-4777-4467-99A8-FBBE4E6A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162925"/>
          <a:ext cx="9676190" cy="33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13</xdr:row>
      <xdr:rowOff>127000</xdr:rowOff>
    </xdr:from>
    <xdr:to>
      <xdr:col>17</xdr:col>
      <xdr:colOff>88900</xdr:colOff>
      <xdr:row>19</xdr:row>
      <xdr:rowOff>114300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 rot="10800000">
          <a:off x="7543800" y="2362200"/>
          <a:ext cx="2908300" cy="990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457200</xdr:colOff>
      <xdr:row>15</xdr:row>
      <xdr:rowOff>25400</xdr:rowOff>
    </xdr:from>
    <xdr:to>
      <xdr:col>24</xdr:col>
      <xdr:colOff>406400</xdr:colOff>
      <xdr:row>26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0820400" y="2603500"/>
          <a:ext cx="4216400" cy="191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Untill =/- december 2012 same as T5000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523875</xdr:colOff>
      <xdr:row>10</xdr:row>
      <xdr:rowOff>114300</xdr:rowOff>
    </xdr:from>
    <xdr:to>
      <xdr:col>15</xdr:col>
      <xdr:colOff>218351</xdr:colOff>
      <xdr:row>31</xdr:row>
      <xdr:rowOff>142446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9C2C0-6363-41C0-988A-B8D452FF3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1924050"/>
          <a:ext cx="5790476" cy="342857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22</xdr:col>
      <xdr:colOff>190095</xdr:colOff>
      <xdr:row>39</xdr:row>
      <xdr:rowOff>9401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3F49B-9B81-478B-825A-405847BF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5343525"/>
          <a:ext cx="3238095" cy="98095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22</xdr:col>
      <xdr:colOff>75809</xdr:colOff>
      <xdr:row>48</xdr:row>
      <xdr:rowOff>152567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8215A8-BF1F-454F-B734-47573FF40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6962775"/>
          <a:ext cx="3123809" cy="9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542925</xdr:colOff>
      <xdr:row>29</xdr:row>
      <xdr:rowOff>142875</xdr:rowOff>
    </xdr:from>
    <xdr:to>
      <xdr:col>15</xdr:col>
      <xdr:colOff>523115</xdr:colOff>
      <xdr:row>58</xdr:row>
      <xdr:rowOff>75622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890DCA-1931-4329-B3D3-346A1C8DC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0925" y="5029200"/>
          <a:ext cx="6076190" cy="46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26</xdr:row>
      <xdr:rowOff>38101</xdr:rowOff>
    </xdr:from>
    <xdr:to>
      <xdr:col>7</xdr:col>
      <xdr:colOff>495299</xdr:colOff>
      <xdr:row>27</xdr:row>
      <xdr:rowOff>101601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Arrowheads="1"/>
        </xdr:cNvSpPr>
      </xdr:nvSpPr>
      <xdr:spPr bwMode="auto">
        <a:xfrm>
          <a:off x="2657474" y="4419601"/>
          <a:ext cx="2371725" cy="228600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SPS/FPS</a:t>
          </a:r>
        </a:p>
      </xdr:txBody>
    </xdr:sp>
    <xdr:clientData/>
  </xdr:twoCellAnchor>
  <xdr:twoCellAnchor>
    <xdr:from>
      <xdr:col>8</xdr:col>
      <xdr:colOff>28574</xdr:colOff>
      <xdr:row>26</xdr:row>
      <xdr:rowOff>38101</xdr:rowOff>
    </xdr:from>
    <xdr:to>
      <xdr:col>11</xdr:col>
      <xdr:colOff>1244599</xdr:colOff>
      <xdr:row>27</xdr:row>
      <xdr:rowOff>127001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Arrowheads="1"/>
        </xdr:cNvSpPr>
      </xdr:nvSpPr>
      <xdr:spPr bwMode="auto">
        <a:xfrm>
          <a:off x="5172074" y="4419601"/>
          <a:ext cx="3133725" cy="254000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CVT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24</xdr:row>
      <xdr:rowOff>38101</xdr:rowOff>
    </xdr:from>
    <xdr:to>
      <xdr:col>7</xdr:col>
      <xdr:colOff>495299</xdr:colOff>
      <xdr:row>25</xdr:row>
      <xdr:rowOff>101601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 bwMode="auto">
        <a:xfrm>
          <a:off x="2647949" y="4324351"/>
          <a:ext cx="2362200" cy="225425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SPS/FPS</a:t>
          </a:r>
        </a:p>
      </xdr:txBody>
    </xdr:sp>
    <xdr:clientData/>
  </xdr:twoCellAnchor>
  <xdr:twoCellAnchor>
    <xdr:from>
      <xdr:col>8</xdr:col>
      <xdr:colOff>28574</xdr:colOff>
      <xdr:row>24</xdr:row>
      <xdr:rowOff>38101</xdr:rowOff>
    </xdr:from>
    <xdr:to>
      <xdr:col>11</xdr:col>
      <xdr:colOff>1244599</xdr:colOff>
      <xdr:row>25</xdr:row>
      <xdr:rowOff>127001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 noChangeArrowheads="1"/>
        </xdr:cNvSpPr>
      </xdr:nvSpPr>
      <xdr:spPr bwMode="auto">
        <a:xfrm>
          <a:off x="5153024" y="4324351"/>
          <a:ext cx="3130550" cy="250825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CVT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28</xdr:row>
      <xdr:rowOff>38100</xdr:rowOff>
    </xdr:from>
    <xdr:to>
      <xdr:col>7</xdr:col>
      <xdr:colOff>571499</xdr:colOff>
      <xdr:row>29</xdr:row>
      <xdr:rowOff>139699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2403474" y="4749800"/>
          <a:ext cx="2155825" cy="266699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FPS</a:t>
          </a:r>
        </a:p>
      </xdr:txBody>
    </xdr:sp>
    <xdr:clientData/>
  </xdr:twoCellAnchor>
  <xdr:twoCellAnchor>
    <xdr:from>
      <xdr:col>8</xdr:col>
      <xdr:colOff>28574</xdr:colOff>
      <xdr:row>28</xdr:row>
      <xdr:rowOff>38101</xdr:rowOff>
    </xdr:from>
    <xdr:to>
      <xdr:col>12</xdr:col>
      <xdr:colOff>1181099</xdr:colOff>
      <xdr:row>29</xdr:row>
      <xdr:rowOff>127001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Arrowheads="1"/>
        </xdr:cNvSpPr>
      </xdr:nvSpPr>
      <xdr:spPr bwMode="auto">
        <a:xfrm>
          <a:off x="4625974" y="4749801"/>
          <a:ext cx="4213225" cy="254000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CVT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25</xdr:row>
      <xdr:rowOff>38100</xdr:rowOff>
    </xdr:from>
    <xdr:to>
      <xdr:col>7</xdr:col>
      <xdr:colOff>571499</xdr:colOff>
      <xdr:row>26</xdr:row>
      <xdr:rowOff>139699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 bwMode="auto">
        <a:xfrm>
          <a:off x="2400299" y="4648200"/>
          <a:ext cx="2152650" cy="263524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FPS</a:t>
          </a:r>
        </a:p>
      </xdr:txBody>
    </xdr:sp>
    <xdr:clientData/>
  </xdr:twoCellAnchor>
  <xdr:twoCellAnchor>
    <xdr:from>
      <xdr:col>8</xdr:col>
      <xdr:colOff>28574</xdr:colOff>
      <xdr:row>25</xdr:row>
      <xdr:rowOff>38101</xdr:rowOff>
    </xdr:from>
    <xdr:to>
      <xdr:col>12</xdr:col>
      <xdr:colOff>1181099</xdr:colOff>
      <xdr:row>26</xdr:row>
      <xdr:rowOff>127001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rrowheads="1"/>
        </xdr:cNvSpPr>
      </xdr:nvSpPr>
      <xdr:spPr bwMode="auto">
        <a:xfrm>
          <a:off x="4619624" y="4648201"/>
          <a:ext cx="4210050" cy="250825"/>
        </a:xfrm>
        <a:prstGeom prst="rect">
          <a:avLst/>
        </a:prstGeom>
        <a:solidFill>
          <a:srgbClr val="FFFF99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CVT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12</xdr:row>
      <xdr:rowOff>152400</xdr:rowOff>
    </xdr:from>
    <xdr:to>
      <xdr:col>10</xdr:col>
      <xdr:colOff>133350</xdr:colOff>
      <xdr:row>23</xdr:row>
      <xdr:rowOff>0</xdr:rowOff>
    </xdr:to>
    <xdr:pic>
      <xdr:nvPicPr>
        <xdr:cNvPr id="4" name="Picture 3" descr="image00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752975"/>
          <a:ext cx="55245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20E7-9771-47F0-A8AE-5B249EA56F11}">
  <dimension ref="A1:W51"/>
  <sheetViews>
    <sheetView topLeftCell="A4" workbookViewId="0">
      <selection activeCell="H24" sqref="H24"/>
    </sheetView>
  </sheetViews>
  <sheetFormatPr defaultRowHeight="12.75" x14ac:dyDescent="0.2"/>
  <cols>
    <col min="3" max="3" width="15.5703125" bestFit="1" customWidth="1"/>
    <col min="18" max="18" width="19" customWidth="1"/>
  </cols>
  <sheetData>
    <row r="1" spans="1:23" ht="13.5" thickBot="1" x14ac:dyDescent="0.25"/>
    <row r="2" spans="1:23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6"/>
      <c r="J2" s="267"/>
      <c r="K2" s="271" t="s">
        <v>1</v>
      </c>
      <c r="L2" s="272"/>
      <c r="M2" s="272"/>
      <c r="N2" s="272"/>
      <c r="O2" s="273"/>
    </row>
    <row r="3" spans="1:23" ht="13.5" thickBot="1" x14ac:dyDescent="0.25">
      <c r="A3" s="268"/>
      <c r="B3" s="269"/>
      <c r="C3" s="269"/>
      <c r="D3" s="269"/>
      <c r="E3" s="269"/>
      <c r="F3" s="269"/>
      <c r="G3" s="269"/>
      <c r="H3" s="269"/>
      <c r="I3" s="269"/>
      <c r="J3" s="270"/>
      <c r="K3" s="274"/>
      <c r="L3" s="275"/>
      <c r="M3" s="275"/>
      <c r="N3" s="275"/>
      <c r="O3" s="276"/>
    </row>
    <row r="4" spans="1:23" ht="16.5" thickBot="1" x14ac:dyDescent="0.3">
      <c r="A4" s="26" t="s">
        <v>2</v>
      </c>
      <c r="B4" s="66" t="s">
        <v>149</v>
      </c>
      <c r="C4" s="28" t="s">
        <v>3</v>
      </c>
      <c r="D4" s="29"/>
      <c r="E4" s="27" t="s">
        <v>4</v>
      </c>
      <c r="F4" s="29"/>
      <c r="G4" s="27" t="s">
        <v>5</v>
      </c>
      <c r="H4" s="29"/>
      <c r="I4" s="30" t="s">
        <v>6</v>
      </c>
      <c r="J4" s="29"/>
      <c r="K4" s="26" t="s">
        <v>7</v>
      </c>
      <c r="L4" s="26" t="s">
        <v>8</v>
      </c>
      <c r="M4" s="26" t="s">
        <v>9</v>
      </c>
      <c r="N4" s="27" t="s">
        <v>10</v>
      </c>
      <c r="O4" s="26" t="s">
        <v>134</v>
      </c>
    </row>
    <row r="5" spans="1:23" x14ac:dyDescent="0.2">
      <c r="A5" s="31"/>
      <c r="B5" s="194"/>
      <c r="C5" s="72" t="s">
        <v>546</v>
      </c>
      <c r="D5" s="3" t="s">
        <v>12</v>
      </c>
      <c r="E5" s="73" t="s">
        <v>11</v>
      </c>
      <c r="F5" s="3" t="s">
        <v>12</v>
      </c>
      <c r="G5" s="73" t="s">
        <v>11</v>
      </c>
      <c r="H5" s="3" t="s">
        <v>12</v>
      </c>
      <c r="I5" s="74" t="s">
        <v>11</v>
      </c>
      <c r="J5" s="3" t="s">
        <v>12</v>
      </c>
      <c r="K5" s="31"/>
      <c r="L5" s="3"/>
      <c r="M5" s="31"/>
      <c r="N5" s="31"/>
      <c r="O5" s="3"/>
      <c r="P5" s="277" t="s">
        <v>547</v>
      </c>
      <c r="Q5" s="278"/>
      <c r="R5" s="278"/>
      <c r="S5" s="278"/>
    </row>
    <row r="6" spans="1:23" x14ac:dyDescent="0.2">
      <c r="A6" s="195" t="s">
        <v>539</v>
      </c>
      <c r="B6" s="208">
        <v>40</v>
      </c>
      <c r="C6" s="196" t="s">
        <v>241</v>
      </c>
      <c r="D6" s="197">
        <v>1770</v>
      </c>
      <c r="E6" s="197">
        <v>290</v>
      </c>
      <c r="F6" s="197">
        <v>221</v>
      </c>
      <c r="G6" s="197">
        <v>330</v>
      </c>
      <c r="H6" s="197">
        <v>275</v>
      </c>
      <c r="I6" s="198" t="s">
        <v>67</v>
      </c>
      <c r="J6" s="198" t="s">
        <v>66</v>
      </c>
      <c r="K6" s="197"/>
      <c r="L6" s="235">
        <v>1345</v>
      </c>
      <c r="M6" s="5"/>
      <c r="N6" s="6"/>
      <c r="O6" s="5"/>
      <c r="P6" s="277"/>
      <c r="Q6" s="278"/>
      <c r="R6" s="278"/>
      <c r="S6" s="278"/>
    </row>
    <row r="7" spans="1:23" x14ac:dyDescent="0.2">
      <c r="A7" s="195" t="s">
        <v>538</v>
      </c>
      <c r="B7" s="208">
        <v>40</v>
      </c>
      <c r="C7" s="196" t="s">
        <v>241</v>
      </c>
      <c r="D7" s="197">
        <v>1770</v>
      </c>
      <c r="E7" s="197">
        <v>290</v>
      </c>
      <c r="F7" s="197">
        <v>221</v>
      </c>
      <c r="G7" s="197">
        <v>330</v>
      </c>
      <c r="H7" s="197">
        <v>275</v>
      </c>
      <c r="I7" s="198" t="s">
        <v>67</v>
      </c>
      <c r="J7" s="198" t="s">
        <v>66</v>
      </c>
      <c r="K7" s="197"/>
      <c r="L7" s="235">
        <v>1345</v>
      </c>
      <c r="M7" s="5"/>
      <c r="N7" s="6"/>
      <c r="O7" s="5"/>
      <c r="P7" s="277"/>
      <c r="Q7" s="278"/>
      <c r="R7" s="278"/>
      <c r="S7" s="278"/>
    </row>
    <row r="8" spans="1:23" x14ac:dyDescent="0.2">
      <c r="A8" s="195" t="s">
        <v>394</v>
      </c>
      <c r="B8" s="208">
        <v>40</v>
      </c>
      <c r="C8" s="196" t="s">
        <v>241</v>
      </c>
      <c r="D8" s="197">
        <v>1770</v>
      </c>
      <c r="E8" s="197">
        <v>290</v>
      </c>
      <c r="F8" s="197">
        <v>221</v>
      </c>
      <c r="G8" s="197">
        <v>330</v>
      </c>
      <c r="H8" s="197">
        <v>275</v>
      </c>
      <c r="I8" s="198" t="s">
        <v>67</v>
      </c>
      <c r="J8" s="198" t="s">
        <v>66</v>
      </c>
      <c r="K8" s="197"/>
      <c r="L8" s="235">
        <v>1345</v>
      </c>
      <c r="M8" s="5"/>
      <c r="N8" s="6"/>
      <c r="O8" s="5"/>
      <c r="P8" s="277"/>
      <c r="Q8" s="278"/>
      <c r="R8" s="278"/>
      <c r="S8" s="278"/>
    </row>
    <row r="9" spans="1:23" x14ac:dyDescent="0.2">
      <c r="A9" s="195" t="s">
        <v>395</v>
      </c>
      <c r="B9" s="208">
        <v>40</v>
      </c>
      <c r="C9" s="196" t="s">
        <v>241</v>
      </c>
      <c r="D9" s="5"/>
      <c r="E9" s="4">
        <v>290</v>
      </c>
      <c r="F9" s="5"/>
      <c r="G9" s="4">
        <v>330</v>
      </c>
      <c r="H9" s="5"/>
      <c r="I9" s="198" t="s">
        <v>67</v>
      </c>
      <c r="J9" s="9"/>
      <c r="K9" s="6"/>
      <c r="L9" s="235">
        <v>1345</v>
      </c>
      <c r="M9" s="6"/>
      <c r="N9" s="6"/>
      <c r="O9" s="5"/>
      <c r="P9" s="277"/>
      <c r="Q9" s="278"/>
      <c r="R9" s="278"/>
      <c r="S9" s="278"/>
    </row>
    <row r="10" spans="1:23" ht="13.5" thickBot="1" x14ac:dyDescent="0.25">
      <c r="A10" s="195" t="s">
        <v>396</v>
      </c>
      <c r="B10" s="208">
        <v>40</v>
      </c>
      <c r="C10" s="196" t="s">
        <v>241</v>
      </c>
      <c r="D10" s="5"/>
      <c r="E10" s="4">
        <v>290</v>
      </c>
      <c r="F10" s="5"/>
      <c r="G10" s="4">
        <v>330</v>
      </c>
      <c r="H10" s="5"/>
      <c r="I10" s="198" t="s">
        <v>67</v>
      </c>
      <c r="J10" s="8"/>
      <c r="K10" s="6"/>
      <c r="L10" s="235">
        <v>1345</v>
      </c>
      <c r="M10" s="6"/>
      <c r="N10" s="6"/>
      <c r="O10" s="5"/>
      <c r="P10" s="277"/>
      <c r="Q10" s="278"/>
      <c r="R10" s="278"/>
      <c r="S10" s="278"/>
    </row>
    <row r="11" spans="1:23" ht="16.5" thickBot="1" x14ac:dyDescent="0.3">
      <c r="A11" s="26" t="s">
        <v>2</v>
      </c>
      <c r="B11" s="66" t="s">
        <v>149</v>
      </c>
      <c r="C11" s="28" t="s">
        <v>3</v>
      </c>
      <c r="D11" s="29"/>
      <c r="E11" s="27" t="s">
        <v>4</v>
      </c>
      <c r="F11" s="29"/>
      <c r="G11" s="27" t="s">
        <v>5</v>
      </c>
      <c r="H11" s="29"/>
      <c r="I11" s="30" t="s">
        <v>6</v>
      </c>
      <c r="J11" s="29"/>
      <c r="K11" s="26" t="s">
        <v>7</v>
      </c>
      <c r="L11" s="26" t="s">
        <v>8</v>
      </c>
      <c r="M11" s="26" t="s">
        <v>9</v>
      </c>
      <c r="N11" s="27" t="s">
        <v>10</v>
      </c>
      <c r="O11" s="26" t="s">
        <v>134</v>
      </c>
    </row>
    <row r="12" spans="1:23" x14ac:dyDescent="0.2">
      <c r="A12" s="31"/>
      <c r="B12" s="194"/>
      <c r="C12" s="72" t="s">
        <v>545</v>
      </c>
      <c r="D12" s="3" t="s">
        <v>12</v>
      </c>
      <c r="E12" s="73" t="s">
        <v>11</v>
      </c>
      <c r="F12" s="3" t="s">
        <v>12</v>
      </c>
      <c r="G12" s="73" t="s">
        <v>11</v>
      </c>
      <c r="H12" s="3" t="s">
        <v>12</v>
      </c>
      <c r="I12" s="74" t="s">
        <v>11</v>
      </c>
      <c r="J12" s="3" t="s">
        <v>12</v>
      </c>
      <c r="K12" s="31"/>
      <c r="L12" s="3"/>
      <c r="M12" s="31"/>
      <c r="N12" s="31"/>
      <c r="O12" s="3"/>
    </row>
    <row r="13" spans="1:23" x14ac:dyDescent="0.2">
      <c r="A13" s="195" t="s">
        <v>539</v>
      </c>
      <c r="B13" s="208">
        <v>40</v>
      </c>
      <c r="C13" s="196" t="s">
        <v>408</v>
      </c>
      <c r="D13" s="197">
        <v>1770</v>
      </c>
      <c r="E13" s="197">
        <v>250</v>
      </c>
      <c r="F13" s="197">
        <v>221</v>
      </c>
      <c r="G13" s="197">
        <v>285</v>
      </c>
      <c r="H13" s="197">
        <v>275</v>
      </c>
      <c r="I13" s="196" t="s">
        <v>68</v>
      </c>
      <c r="J13" s="198" t="s">
        <v>66</v>
      </c>
      <c r="K13" s="197"/>
      <c r="L13" s="235">
        <v>1376</v>
      </c>
      <c r="M13" s="5"/>
      <c r="N13" s="6"/>
      <c r="O13" s="5"/>
    </row>
    <row r="14" spans="1:23" x14ac:dyDescent="0.2">
      <c r="A14" s="195" t="s">
        <v>538</v>
      </c>
      <c r="B14" s="208">
        <v>40</v>
      </c>
      <c r="C14" s="196" t="s">
        <v>408</v>
      </c>
      <c r="D14" s="197">
        <v>1770</v>
      </c>
      <c r="E14" s="197">
        <v>250</v>
      </c>
      <c r="F14" s="197">
        <v>221</v>
      </c>
      <c r="G14" s="197">
        <v>285</v>
      </c>
      <c r="H14" s="197">
        <v>275</v>
      </c>
      <c r="I14" s="196" t="s">
        <v>68</v>
      </c>
      <c r="J14" s="198" t="s">
        <v>66</v>
      </c>
      <c r="K14" s="197"/>
      <c r="L14" s="235">
        <v>1376</v>
      </c>
      <c r="M14" s="6"/>
      <c r="N14" s="6"/>
      <c r="O14" s="5"/>
    </row>
    <row r="15" spans="1:23" x14ac:dyDescent="0.2">
      <c r="A15" s="195" t="s">
        <v>394</v>
      </c>
      <c r="B15" s="208">
        <v>40</v>
      </c>
      <c r="C15" s="196" t="s">
        <v>408</v>
      </c>
      <c r="D15" s="197">
        <v>1770</v>
      </c>
      <c r="E15" s="197">
        <v>250</v>
      </c>
      <c r="F15" s="197">
        <v>221</v>
      </c>
      <c r="G15" s="197">
        <v>285</v>
      </c>
      <c r="H15" s="197">
        <v>275</v>
      </c>
      <c r="I15" s="196" t="s">
        <v>68</v>
      </c>
      <c r="J15" s="198" t="s">
        <v>66</v>
      </c>
      <c r="K15" s="197"/>
      <c r="L15" s="235">
        <v>1376</v>
      </c>
      <c r="M15" s="6"/>
      <c r="N15" s="6"/>
      <c r="O15" s="5"/>
      <c r="P15" s="279" t="s">
        <v>548</v>
      </c>
      <c r="Q15" s="280"/>
      <c r="R15" s="280"/>
      <c r="S15" s="263">
        <v>1.3620000000000001</v>
      </c>
      <c r="T15" s="263"/>
      <c r="U15" s="263"/>
      <c r="V15" s="263"/>
      <c r="W15" s="264"/>
    </row>
    <row r="16" spans="1:23" x14ac:dyDescent="0.2">
      <c r="A16" s="195" t="s">
        <v>395</v>
      </c>
      <c r="B16" s="208">
        <v>40</v>
      </c>
      <c r="C16" s="196" t="s">
        <v>408</v>
      </c>
      <c r="D16" s="5"/>
      <c r="E16" s="197">
        <v>250</v>
      </c>
      <c r="F16" s="5"/>
      <c r="G16" s="197">
        <v>285</v>
      </c>
      <c r="H16" s="5"/>
      <c r="I16" s="196" t="s">
        <v>68</v>
      </c>
      <c r="J16" s="9"/>
      <c r="K16" s="6"/>
      <c r="L16" s="235">
        <v>1376</v>
      </c>
      <c r="M16" s="6"/>
      <c r="N16" s="6"/>
      <c r="O16" s="5"/>
      <c r="P16" s="261" t="s">
        <v>549</v>
      </c>
      <c r="Q16" s="262"/>
      <c r="R16" s="262"/>
      <c r="S16" s="263">
        <v>1.3759999999999999</v>
      </c>
      <c r="T16" s="263"/>
      <c r="U16" s="263"/>
      <c r="V16" s="263"/>
      <c r="W16" s="264"/>
    </row>
    <row r="17" spans="1:23" x14ac:dyDescent="0.2">
      <c r="A17" s="195" t="s">
        <v>396</v>
      </c>
      <c r="B17" s="208">
        <v>40</v>
      </c>
      <c r="C17" s="196" t="s">
        <v>408</v>
      </c>
      <c r="D17" s="5"/>
      <c r="E17" s="197">
        <v>250</v>
      </c>
      <c r="F17" s="5"/>
      <c r="G17" s="197">
        <v>285</v>
      </c>
      <c r="H17" s="5"/>
      <c r="I17" s="196" t="s">
        <v>68</v>
      </c>
      <c r="J17" s="8"/>
      <c r="K17" s="6"/>
      <c r="L17" s="235">
        <v>1376</v>
      </c>
      <c r="M17" s="5"/>
      <c r="N17" s="6"/>
      <c r="O17" s="5"/>
      <c r="P17" s="281" t="s">
        <v>550</v>
      </c>
      <c r="Q17" s="282"/>
      <c r="R17" s="282"/>
      <c r="S17" s="283">
        <v>1.349</v>
      </c>
      <c r="T17" s="284"/>
      <c r="U17" s="284"/>
      <c r="V17" s="284"/>
      <c r="W17" s="285"/>
    </row>
    <row r="18" spans="1:23" x14ac:dyDescent="0.2">
      <c r="A18" s="195"/>
      <c r="B18" s="197"/>
      <c r="C18" s="196"/>
      <c r="D18" s="197"/>
      <c r="E18" s="197"/>
      <c r="F18" s="197"/>
      <c r="G18" s="197"/>
      <c r="H18" s="197"/>
      <c r="I18" s="198"/>
      <c r="J18" s="198"/>
      <c r="K18" s="197"/>
      <c r="L18" s="197"/>
      <c r="M18" s="5"/>
      <c r="N18" s="6"/>
      <c r="O18" s="5"/>
    </row>
    <row r="19" spans="1:23" x14ac:dyDescent="0.2">
      <c r="A19" s="195"/>
      <c r="B19" s="197"/>
      <c r="C19" s="196"/>
      <c r="D19" s="197"/>
      <c r="E19" s="197"/>
      <c r="F19" s="197"/>
      <c r="G19" s="197"/>
      <c r="H19" s="197"/>
      <c r="I19" s="198"/>
      <c r="J19" s="198"/>
      <c r="K19" s="197"/>
      <c r="L19" s="197"/>
      <c r="M19" s="33"/>
      <c r="N19" s="35"/>
      <c r="O19" s="33"/>
    </row>
    <row r="20" spans="1:23" x14ac:dyDescent="0.2">
      <c r="A20" s="35"/>
      <c r="B20" s="63"/>
      <c r="C20" s="32"/>
      <c r="D20" s="33"/>
      <c r="E20" s="32"/>
      <c r="F20" s="33"/>
      <c r="G20" s="32"/>
      <c r="H20" s="33"/>
      <c r="I20" s="32"/>
      <c r="J20" s="33"/>
      <c r="K20" s="35"/>
      <c r="L20" s="33"/>
      <c r="M20" s="35"/>
      <c r="N20" s="35"/>
      <c r="O20" s="33"/>
    </row>
    <row r="27" spans="1:23" ht="13.5" thickBot="1" x14ac:dyDescent="0.25"/>
    <row r="28" spans="1:23" x14ac:dyDescent="0.2">
      <c r="O28" s="286" t="s">
        <v>551</v>
      </c>
      <c r="P28" s="287"/>
      <c r="Q28" s="287"/>
      <c r="R28" s="236" t="s">
        <v>539</v>
      </c>
      <c r="S28" s="236" t="s">
        <v>538</v>
      </c>
      <c r="T28" s="236" t="s">
        <v>394</v>
      </c>
      <c r="U28" s="236" t="s">
        <v>395</v>
      </c>
      <c r="V28" s="237" t="s">
        <v>396</v>
      </c>
    </row>
    <row r="29" spans="1:23" x14ac:dyDescent="0.2">
      <c r="O29" s="288"/>
      <c r="P29" s="289"/>
      <c r="Q29" s="289"/>
      <c r="R29" s="238"/>
      <c r="S29" s="239" t="s">
        <v>552</v>
      </c>
      <c r="T29" s="239" t="s">
        <v>553</v>
      </c>
      <c r="U29" s="239" t="s">
        <v>554</v>
      </c>
      <c r="V29" s="240" t="s">
        <v>555</v>
      </c>
    </row>
    <row r="30" spans="1:23" x14ac:dyDescent="0.2">
      <c r="O30" s="288"/>
      <c r="P30" s="289"/>
      <c r="Q30" s="289"/>
      <c r="R30" s="241" t="s">
        <v>556</v>
      </c>
      <c r="S30" s="241" t="s">
        <v>557</v>
      </c>
      <c r="T30" s="241" t="s">
        <v>558</v>
      </c>
      <c r="U30" s="241" t="s">
        <v>559</v>
      </c>
      <c r="V30" s="242" t="s">
        <v>560</v>
      </c>
    </row>
    <row r="31" spans="1:23" ht="15.75" x14ac:dyDescent="0.2">
      <c r="O31" s="243" t="s">
        <v>561</v>
      </c>
      <c r="P31" s="244"/>
      <c r="Q31" s="290" t="s">
        <v>392</v>
      </c>
      <c r="R31" s="290"/>
      <c r="S31" s="290"/>
      <c r="T31" s="290"/>
      <c r="U31" s="245"/>
      <c r="V31" s="246"/>
    </row>
    <row r="32" spans="1:23" x14ac:dyDescent="0.2">
      <c r="O32" s="279" t="s">
        <v>562</v>
      </c>
      <c r="P32" s="280"/>
      <c r="Q32" s="280"/>
      <c r="R32" s="290">
        <v>1</v>
      </c>
      <c r="S32" s="290"/>
      <c r="T32" s="290"/>
      <c r="U32" s="290"/>
      <c r="V32" s="291"/>
    </row>
    <row r="33" spans="15:22" x14ac:dyDescent="0.2">
      <c r="O33" s="279" t="s">
        <v>413</v>
      </c>
      <c r="P33" s="280"/>
      <c r="Q33" s="280"/>
      <c r="R33" s="290">
        <v>2900</v>
      </c>
      <c r="S33" s="290"/>
      <c r="T33" s="290"/>
      <c r="U33" s="290"/>
      <c r="V33" s="291"/>
    </row>
    <row r="34" spans="15:22" x14ac:dyDescent="0.2">
      <c r="O34" s="292" t="s">
        <v>563</v>
      </c>
      <c r="P34" s="293"/>
      <c r="Q34" s="293"/>
      <c r="R34" s="290">
        <v>4700</v>
      </c>
      <c r="S34" s="290"/>
      <c r="T34" s="290"/>
      <c r="U34" s="290"/>
      <c r="V34" s="291"/>
    </row>
    <row r="35" spans="15:22" x14ac:dyDescent="0.2">
      <c r="O35" s="294" t="s">
        <v>564</v>
      </c>
      <c r="P35" s="295"/>
      <c r="Q35" s="295"/>
      <c r="R35" s="290">
        <v>1584</v>
      </c>
      <c r="S35" s="290"/>
      <c r="T35" s="290"/>
      <c r="U35" s="290"/>
      <c r="V35" s="291"/>
    </row>
    <row r="36" spans="15:22" x14ac:dyDescent="0.2">
      <c r="O36" s="279" t="s">
        <v>565</v>
      </c>
      <c r="P36" s="280"/>
      <c r="Q36" s="280"/>
      <c r="R36" s="290" t="s">
        <v>566</v>
      </c>
      <c r="S36" s="290"/>
      <c r="T36" s="290"/>
      <c r="U36" s="290"/>
      <c r="V36" s="291"/>
    </row>
    <row r="37" spans="15:22" x14ac:dyDescent="0.2">
      <c r="O37" s="279" t="s">
        <v>567</v>
      </c>
      <c r="P37" s="280"/>
      <c r="Q37" s="280"/>
      <c r="R37" s="290">
        <v>55</v>
      </c>
      <c r="S37" s="290"/>
      <c r="T37" s="290"/>
      <c r="U37" s="290"/>
      <c r="V37" s="291"/>
    </row>
    <row r="38" spans="15:22" x14ac:dyDescent="0.2">
      <c r="O38" s="279" t="s">
        <v>568</v>
      </c>
      <c r="P38" s="280"/>
      <c r="Q38" s="280"/>
      <c r="R38" s="296">
        <v>1</v>
      </c>
      <c r="S38" s="297"/>
      <c r="T38" s="297"/>
      <c r="U38" s="297"/>
      <c r="V38" s="298"/>
    </row>
    <row r="39" spans="15:22" x14ac:dyDescent="0.2">
      <c r="O39" s="279" t="s">
        <v>569</v>
      </c>
      <c r="P39" s="280"/>
      <c r="Q39" s="280"/>
      <c r="R39" s="296">
        <v>10</v>
      </c>
      <c r="S39" s="297"/>
      <c r="T39" s="297"/>
      <c r="U39" s="297"/>
      <c r="V39" s="298"/>
    </row>
    <row r="40" spans="15:22" x14ac:dyDescent="0.2">
      <c r="O40" s="279" t="s">
        <v>548</v>
      </c>
      <c r="P40" s="280"/>
      <c r="Q40" s="280"/>
      <c r="R40" s="299">
        <v>1.3620000000000001</v>
      </c>
      <c r="S40" s="299"/>
      <c r="T40" s="299"/>
      <c r="U40" s="299"/>
      <c r="V40" s="300"/>
    </row>
    <row r="41" spans="15:22" x14ac:dyDescent="0.2">
      <c r="O41" s="301" t="s">
        <v>549</v>
      </c>
      <c r="P41" s="302"/>
      <c r="Q41" s="302"/>
      <c r="R41" s="299">
        <v>1.3759999999999999</v>
      </c>
      <c r="S41" s="299"/>
      <c r="T41" s="299"/>
      <c r="U41" s="299"/>
      <c r="V41" s="300"/>
    </row>
    <row r="42" spans="15:22" x14ac:dyDescent="0.2">
      <c r="O42" s="279" t="s">
        <v>550</v>
      </c>
      <c r="P42" s="280"/>
      <c r="Q42" s="280"/>
      <c r="R42" s="303">
        <v>1.349</v>
      </c>
      <c r="S42" s="304"/>
      <c r="T42" s="304"/>
      <c r="U42" s="304"/>
      <c r="V42" s="305"/>
    </row>
    <row r="43" spans="15:22" x14ac:dyDescent="0.2">
      <c r="O43" s="279" t="s">
        <v>570</v>
      </c>
      <c r="P43" s="280"/>
      <c r="Q43" s="280"/>
      <c r="R43" s="306" t="s">
        <v>571</v>
      </c>
      <c r="S43" s="306"/>
      <c r="T43" s="306"/>
      <c r="U43" s="306"/>
      <c r="V43" s="307"/>
    </row>
    <row r="44" spans="15:22" x14ac:dyDescent="0.2">
      <c r="O44" s="279" t="s">
        <v>572</v>
      </c>
      <c r="P44" s="280"/>
      <c r="Q44" s="280"/>
      <c r="R44" s="306" t="s">
        <v>573</v>
      </c>
      <c r="S44" s="306"/>
      <c r="T44" s="306"/>
      <c r="U44" s="306"/>
      <c r="V44" s="307"/>
    </row>
    <row r="45" spans="15:22" x14ac:dyDescent="0.2">
      <c r="O45" s="247" t="s">
        <v>574</v>
      </c>
      <c r="P45" s="282" t="s">
        <v>575</v>
      </c>
      <c r="Q45" s="282"/>
      <c r="R45" s="296">
        <v>250</v>
      </c>
      <c r="S45" s="297"/>
      <c r="T45" s="297"/>
      <c r="U45" s="297"/>
      <c r="V45" s="298"/>
    </row>
    <row r="46" spans="15:22" x14ac:dyDescent="0.2">
      <c r="O46" s="247" t="s">
        <v>576</v>
      </c>
      <c r="P46" s="282" t="s">
        <v>577</v>
      </c>
      <c r="Q46" s="282"/>
      <c r="R46" s="296">
        <v>285</v>
      </c>
      <c r="S46" s="297"/>
      <c r="T46" s="297"/>
      <c r="U46" s="297"/>
      <c r="V46" s="298"/>
    </row>
    <row r="47" spans="15:22" x14ac:dyDescent="0.2">
      <c r="O47" s="308" t="s">
        <v>578</v>
      </c>
      <c r="P47" s="282" t="s">
        <v>579</v>
      </c>
      <c r="Q47" s="282"/>
      <c r="R47" s="296">
        <v>6</v>
      </c>
      <c r="S47" s="297"/>
      <c r="T47" s="297"/>
      <c r="U47" s="297"/>
      <c r="V47" s="298"/>
    </row>
    <row r="48" spans="15:22" x14ac:dyDescent="0.2">
      <c r="O48" s="308"/>
      <c r="P48" s="282" t="s">
        <v>580</v>
      </c>
      <c r="Q48" s="282"/>
      <c r="R48" s="296" t="s">
        <v>581</v>
      </c>
      <c r="S48" s="297"/>
      <c r="T48" s="297"/>
      <c r="U48" s="297"/>
      <c r="V48" s="298"/>
    </row>
    <row r="49" spans="15:22" x14ac:dyDescent="0.2">
      <c r="O49" s="308"/>
      <c r="P49" s="282" t="s">
        <v>582</v>
      </c>
      <c r="Q49" s="282"/>
      <c r="R49" s="296">
        <v>220</v>
      </c>
      <c r="S49" s="297"/>
      <c r="T49" s="297"/>
      <c r="U49" s="297"/>
      <c r="V49" s="298"/>
    </row>
    <row r="50" spans="15:22" x14ac:dyDescent="0.2">
      <c r="O50" s="248" t="s">
        <v>583</v>
      </c>
      <c r="P50" s="282" t="s">
        <v>584</v>
      </c>
      <c r="Q50" s="282"/>
      <c r="R50" s="306" t="s">
        <v>585</v>
      </c>
      <c r="S50" s="306"/>
      <c r="T50" s="306"/>
      <c r="U50" s="306"/>
      <c r="V50" s="307"/>
    </row>
    <row r="51" spans="15:22" ht="13.5" thickBot="1" x14ac:dyDescent="0.25">
      <c r="O51" s="249" t="s">
        <v>586</v>
      </c>
      <c r="P51" s="309" t="s">
        <v>587</v>
      </c>
      <c r="Q51" s="309"/>
      <c r="R51" s="310" t="s">
        <v>588</v>
      </c>
      <c r="S51" s="310"/>
      <c r="T51" s="310"/>
      <c r="U51" s="310"/>
      <c r="V51" s="311"/>
    </row>
  </sheetData>
  <mergeCells count="52">
    <mergeCell ref="P50:Q50"/>
    <mergeCell ref="R50:V50"/>
    <mergeCell ref="P51:Q51"/>
    <mergeCell ref="R51:V51"/>
    <mergeCell ref="P45:Q45"/>
    <mergeCell ref="R45:V45"/>
    <mergeCell ref="P46:Q46"/>
    <mergeCell ref="R46:V46"/>
    <mergeCell ref="O47:O49"/>
    <mergeCell ref="P47:Q47"/>
    <mergeCell ref="R47:V47"/>
    <mergeCell ref="P48:Q48"/>
    <mergeCell ref="R48:V48"/>
    <mergeCell ref="P49:Q49"/>
    <mergeCell ref="R49:V49"/>
    <mergeCell ref="O42:Q42"/>
    <mergeCell ref="R42:V42"/>
    <mergeCell ref="O43:Q43"/>
    <mergeCell ref="R43:V43"/>
    <mergeCell ref="O44:Q44"/>
    <mergeCell ref="R44:V44"/>
    <mergeCell ref="O39:Q39"/>
    <mergeCell ref="R39:V39"/>
    <mergeCell ref="O40:Q40"/>
    <mergeCell ref="R40:V40"/>
    <mergeCell ref="O41:Q41"/>
    <mergeCell ref="R41:V41"/>
    <mergeCell ref="O36:Q36"/>
    <mergeCell ref="R36:V36"/>
    <mergeCell ref="O37:Q37"/>
    <mergeCell ref="R37:V37"/>
    <mergeCell ref="O38:Q38"/>
    <mergeCell ref="R38:V38"/>
    <mergeCell ref="O33:Q33"/>
    <mergeCell ref="R33:V33"/>
    <mergeCell ref="O34:Q34"/>
    <mergeCell ref="R34:V34"/>
    <mergeCell ref="O35:Q35"/>
    <mergeCell ref="R35:V35"/>
    <mergeCell ref="P17:R17"/>
    <mergeCell ref="S17:W17"/>
    <mergeCell ref="O28:Q30"/>
    <mergeCell ref="Q31:T31"/>
    <mergeCell ref="O32:Q32"/>
    <mergeCell ref="R32:V32"/>
    <mergeCell ref="P16:R16"/>
    <mergeCell ref="S16:W16"/>
    <mergeCell ref="A2:J3"/>
    <mergeCell ref="K2:O3"/>
    <mergeCell ref="P5:S10"/>
    <mergeCell ref="P15:R15"/>
    <mergeCell ref="S15:W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"/>
  <sheetViews>
    <sheetView workbookViewId="0">
      <selection activeCell="K1" sqref="K1:O14"/>
    </sheetView>
  </sheetViews>
  <sheetFormatPr defaultRowHeight="12.75" x14ac:dyDescent="0.2"/>
  <cols>
    <col min="1" max="1" width="13" customWidth="1"/>
    <col min="2" max="2" width="4.42578125" customWidth="1"/>
    <col min="3" max="3" width="6.5703125" customWidth="1"/>
    <col min="13" max="13" width="6.140625" customWidth="1"/>
    <col min="15" max="15" width="11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61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100</v>
      </c>
      <c r="B5" s="22"/>
      <c r="C5" s="17">
        <v>1150</v>
      </c>
      <c r="D5" s="5">
        <v>960</v>
      </c>
      <c r="E5" s="4" t="s">
        <v>101</v>
      </c>
      <c r="F5" s="5" t="s">
        <v>101</v>
      </c>
      <c r="G5" s="4">
        <v>152.4</v>
      </c>
      <c r="H5" s="5" t="s">
        <v>102</v>
      </c>
      <c r="I5" s="11" t="s">
        <v>103</v>
      </c>
      <c r="J5" s="11" t="s">
        <v>103</v>
      </c>
      <c r="K5" s="13">
        <v>1470</v>
      </c>
      <c r="L5" s="6"/>
      <c r="M5" s="6"/>
      <c r="N5" s="4"/>
      <c r="O5" s="6"/>
    </row>
    <row r="6" spans="1:15" x14ac:dyDescent="0.2">
      <c r="A6" s="7" t="s">
        <v>104</v>
      </c>
      <c r="B6" s="22"/>
      <c r="C6" s="17"/>
      <c r="D6" s="5"/>
      <c r="E6" s="4"/>
      <c r="F6" s="5"/>
      <c r="G6" s="4"/>
      <c r="H6" s="5"/>
      <c r="I6" s="11"/>
      <c r="J6" s="8"/>
      <c r="K6" s="6"/>
      <c r="L6" s="6"/>
      <c r="M6" s="6"/>
      <c r="N6" s="4"/>
      <c r="O6" s="6"/>
    </row>
    <row r="7" spans="1:15" x14ac:dyDescent="0.2">
      <c r="A7" s="7" t="s">
        <v>105</v>
      </c>
      <c r="B7" s="22"/>
      <c r="C7" s="17">
        <v>919</v>
      </c>
      <c r="D7" s="5">
        <v>921</v>
      </c>
      <c r="E7" s="1">
        <v>80</v>
      </c>
      <c r="F7" s="5">
        <v>90</v>
      </c>
      <c r="G7" s="1">
        <v>120</v>
      </c>
      <c r="H7" s="5">
        <v>120</v>
      </c>
      <c r="I7" s="11" t="s">
        <v>108</v>
      </c>
      <c r="J7" s="9" t="s">
        <v>109</v>
      </c>
      <c r="K7" s="1">
        <v>1.4896</v>
      </c>
      <c r="L7" s="6"/>
      <c r="M7" s="6"/>
      <c r="N7" s="6"/>
      <c r="O7" s="6"/>
    </row>
    <row r="8" spans="1:15" x14ac:dyDescent="0.2">
      <c r="A8" s="7" t="s">
        <v>106</v>
      </c>
      <c r="B8" s="22"/>
      <c r="C8" s="17" t="s">
        <v>110</v>
      </c>
      <c r="D8" s="5">
        <v>1141</v>
      </c>
      <c r="E8" s="1">
        <v>117.4</v>
      </c>
      <c r="F8" s="5">
        <v>152.4</v>
      </c>
      <c r="G8" s="1">
        <v>152.4</v>
      </c>
      <c r="H8" s="5">
        <v>203.2</v>
      </c>
      <c r="I8" s="11" t="s">
        <v>111</v>
      </c>
      <c r="J8" s="9" t="s">
        <v>112</v>
      </c>
      <c r="K8" s="12">
        <v>1589</v>
      </c>
      <c r="L8" s="6"/>
      <c r="M8" s="6"/>
      <c r="N8" s="6"/>
      <c r="O8" s="6"/>
    </row>
    <row r="9" spans="1:15" x14ac:dyDescent="0.2">
      <c r="A9" s="7"/>
      <c r="B9" s="22"/>
      <c r="C9" s="17"/>
      <c r="D9" s="5"/>
      <c r="E9" s="1"/>
      <c r="F9" s="5"/>
      <c r="G9" s="1"/>
      <c r="H9" s="5"/>
      <c r="I9" s="11"/>
      <c r="J9" s="9"/>
      <c r="K9" s="12"/>
      <c r="L9" s="6"/>
      <c r="M9" s="6"/>
      <c r="N9" s="6"/>
      <c r="O9" s="6"/>
    </row>
    <row r="10" spans="1:15" x14ac:dyDescent="0.2">
      <c r="A10" s="7" t="s">
        <v>107</v>
      </c>
      <c r="B10" s="22"/>
      <c r="C10" s="17" t="s">
        <v>113</v>
      </c>
      <c r="D10" s="5">
        <v>1149</v>
      </c>
      <c r="E10" s="1">
        <v>117.4</v>
      </c>
      <c r="F10" s="5">
        <v>152.4</v>
      </c>
      <c r="G10" s="1">
        <v>152.4</v>
      </c>
      <c r="H10" s="5">
        <v>203.2</v>
      </c>
      <c r="I10" s="11" t="s">
        <v>111</v>
      </c>
      <c r="J10" s="9" t="s">
        <v>112</v>
      </c>
      <c r="K10" s="12">
        <v>16439</v>
      </c>
      <c r="L10" s="6"/>
      <c r="M10" s="6"/>
      <c r="N10" s="6"/>
      <c r="O10" s="6"/>
    </row>
    <row r="11" spans="1:15" x14ac:dyDescent="0.2">
      <c r="A11" s="7"/>
      <c r="B11" s="22"/>
      <c r="C11" s="17"/>
      <c r="D11" s="5"/>
      <c r="E11" s="1"/>
      <c r="F11" s="5"/>
      <c r="G11" s="1"/>
      <c r="H11" s="5"/>
      <c r="I11" s="11"/>
      <c r="J11" s="9"/>
      <c r="K11" s="12"/>
      <c r="L11" s="6"/>
      <c r="M11" s="6"/>
      <c r="N11" s="6"/>
      <c r="O11" s="6"/>
    </row>
    <row r="12" spans="1:15" x14ac:dyDescent="0.2">
      <c r="A12" s="7" t="s">
        <v>147</v>
      </c>
      <c r="B12" s="22"/>
      <c r="C12" s="17"/>
      <c r="D12" s="5"/>
      <c r="E12" s="1"/>
      <c r="F12" s="5"/>
      <c r="G12" s="1"/>
      <c r="H12" s="5"/>
      <c r="I12" s="11"/>
      <c r="J12" s="9"/>
      <c r="K12" s="12" t="s">
        <v>148</v>
      </c>
      <c r="L12" s="6"/>
      <c r="M12" s="6"/>
      <c r="N12" s="6"/>
      <c r="O12" s="6"/>
    </row>
    <row r="13" spans="1:15" x14ac:dyDescent="0.2">
      <c r="A13" s="7"/>
      <c r="B13" s="22"/>
      <c r="C13" s="17"/>
      <c r="D13" s="5"/>
      <c r="E13" s="1"/>
      <c r="F13" s="5"/>
      <c r="G13" s="1"/>
      <c r="H13" s="5"/>
      <c r="I13" s="11"/>
      <c r="J13" s="9"/>
      <c r="K13" s="12"/>
      <c r="L13" s="6"/>
      <c r="M13" s="6"/>
      <c r="N13" s="6"/>
      <c r="O13" s="6"/>
    </row>
    <row r="14" spans="1:15" ht="13.5" thickBot="1" x14ac:dyDescent="0.25">
      <c r="A14" s="58"/>
      <c r="B14" s="76"/>
      <c r="C14" s="52"/>
      <c r="D14" s="53"/>
      <c r="E14" s="54"/>
      <c r="F14" s="53"/>
      <c r="G14" s="54"/>
      <c r="H14" s="53"/>
      <c r="I14" s="55"/>
      <c r="J14" s="56"/>
      <c r="K14" s="78"/>
      <c r="L14" s="57"/>
      <c r="M14" s="57"/>
      <c r="N14" s="57"/>
      <c r="O14" s="57"/>
    </row>
  </sheetData>
  <sheetProtection password="D243" sheet="1" objects="1" scenarios="1"/>
  <mergeCells count="2">
    <mergeCell ref="A1:J2"/>
    <mergeCell ref="K1:O2"/>
  </mergeCells>
  <phoneticPr fontId="14" type="noConversion"/>
  <printOptions gridLines="1"/>
  <pageMargins left="0.67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R11"/>
  <sheetViews>
    <sheetView workbookViewId="0">
      <selection activeCell="Q20" sqref="Q20"/>
    </sheetView>
  </sheetViews>
  <sheetFormatPr defaultRowHeight="12.75" x14ac:dyDescent="0.2"/>
  <sheetData>
    <row r="1" spans="2:18" ht="13.5" thickBot="1" x14ac:dyDescent="0.25">
      <c r="N1" s="265" t="s">
        <v>1</v>
      </c>
      <c r="O1" s="266"/>
      <c r="P1" s="266"/>
      <c r="Q1" s="266"/>
      <c r="R1" s="267"/>
    </row>
    <row r="2" spans="2:18" ht="16.5" thickBot="1" x14ac:dyDescent="0.3">
      <c r="B2" s="26" t="s">
        <v>2</v>
      </c>
      <c r="C2" s="27" t="s">
        <v>149</v>
      </c>
      <c r="D2" s="28" t="s">
        <v>3</v>
      </c>
      <c r="E2" s="29"/>
      <c r="F2" s="27" t="s">
        <v>4</v>
      </c>
      <c r="G2" s="29"/>
      <c r="H2" s="27" t="s">
        <v>5</v>
      </c>
      <c r="I2" s="29"/>
      <c r="J2" s="30" t="s">
        <v>6</v>
      </c>
      <c r="K2" s="29"/>
      <c r="L2" s="26" t="s">
        <v>341</v>
      </c>
      <c r="M2" s="158" t="s">
        <v>384</v>
      </c>
      <c r="N2" s="268"/>
      <c r="O2" s="269"/>
      <c r="P2" s="269"/>
      <c r="Q2" s="269"/>
      <c r="R2" s="270"/>
    </row>
    <row r="3" spans="2:18" ht="16.5" thickBot="1" x14ac:dyDescent="0.3">
      <c r="B3" s="47"/>
      <c r="C3" s="48" t="s">
        <v>167</v>
      </c>
      <c r="D3" s="49" t="s">
        <v>11</v>
      </c>
      <c r="E3" s="29" t="s">
        <v>12</v>
      </c>
      <c r="F3" s="50" t="s">
        <v>11</v>
      </c>
      <c r="G3" s="29" t="s">
        <v>12</v>
      </c>
      <c r="H3" s="50" t="s">
        <v>11</v>
      </c>
      <c r="I3" s="29" t="s">
        <v>12</v>
      </c>
      <c r="J3" s="49" t="s">
        <v>11</v>
      </c>
      <c r="K3" s="29" t="s">
        <v>12</v>
      </c>
      <c r="L3" s="47" t="s">
        <v>342</v>
      </c>
      <c r="M3" s="13"/>
      <c r="N3" s="26" t="s">
        <v>478</v>
      </c>
      <c r="O3" s="26" t="s">
        <v>479</v>
      </c>
      <c r="P3" s="26"/>
      <c r="Q3" s="27"/>
      <c r="R3" s="26"/>
    </row>
    <row r="4" spans="2:18" x14ac:dyDescent="0.2">
      <c r="B4" s="7" t="s">
        <v>378</v>
      </c>
      <c r="C4" s="22">
        <v>1</v>
      </c>
      <c r="D4" s="17" t="s">
        <v>382</v>
      </c>
      <c r="E4" s="5">
        <v>1180</v>
      </c>
      <c r="F4" s="4">
        <v>250</v>
      </c>
      <c r="G4" s="5">
        <v>150</v>
      </c>
      <c r="H4" s="4">
        <v>285</v>
      </c>
      <c r="I4" s="5">
        <v>203.2</v>
      </c>
      <c r="J4" s="16" t="s">
        <v>68</v>
      </c>
      <c r="K4" s="8" t="s">
        <v>66</v>
      </c>
      <c r="L4" s="10" t="s">
        <v>383</v>
      </c>
      <c r="M4" s="13"/>
      <c r="N4" s="119">
        <v>1465</v>
      </c>
      <c r="O4" s="119">
        <v>1463</v>
      </c>
    </row>
    <row r="5" spans="2:18" x14ac:dyDescent="0.2">
      <c r="B5" s="7" t="s">
        <v>381</v>
      </c>
      <c r="C5" s="22">
        <v>1</v>
      </c>
      <c r="D5" s="17" t="s">
        <v>382</v>
      </c>
      <c r="E5" s="5">
        <v>1180</v>
      </c>
      <c r="F5" s="4">
        <v>250</v>
      </c>
      <c r="G5" s="5">
        <v>150</v>
      </c>
      <c r="H5" s="4">
        <v>285</v>
      </c>
      <c r="I5" s="5">
        <v>203.2</v>
      </c>
      <c r="J5" s="16" t="s">
        <v>68</v>
      </c>
      <c r="K5" s="8" t="s">
        <v>66</v>
      </c>
      <c r="L5" s="10" t="s">
        <v>383</v>
      </c>
      <c r="M5" s="13"/>
      <c r="N5" s="119">
        <v>1465</v>
      </c>
      <c r="O5" s="119">
        <v>1463</v>
      </c>
    </row>
    <row r="6" spans="2:18" x14ac:dyDescent="0.2">
      <c r="B6" s="7" t="s">
        <v>379</v>
      </c>
      <c r="C6" s="22">
        <v>1</v>
      </c>
      <c r="D6" s="17" t="s">
        <v>382</v>
      </c>
      <c r="E6" s="5">
        <v>1180</v>
      </c>
      <c r="F6" s="4">
        <v>250</v>
      </c>
      <c r="G6" s="5">
        <v>150</v>
      </c>
      <c r="H6" s="4">
        <v>285</v>
      </c>
      <c r="I6" s="5">
        <v>203.2</v>
      </c>
      <c r="J6" s="16" t="s">
        <v>68</v>
      </c>
      <c r="K6" s="8" t="s">
        <v>66</v>
      </c>
      <c r="L6" s="10" t="s">
        <v>383</v>
      </c>
      <c r="M6" s="13"/>
      <c r="N6" s="119">
        <v>1465</v>
      </c>
      <c r="O6" s="119">
        <v>1463</v>
      </c>
    </row>
    <row r="7" spans="2:18" x14ac:dyDescent="0.2">
      <c r="B7" s="7" t="s">
        <v>380</v>
      </c>
      <c r="C7" s="22">
        <v>1</v>
      </c>
      <c r="D7" s="17" t="s">
        <v>382</v>
      </c>
      <c r="E7" s="5">
        <v>1180</v>
      </c>
      <c r="F7" s="4">
        <v>250</v>
      </c>
      <c r="G7" s="5">
        <v>150</v>
      </c>
      <c r="H7" s="4">
        <v>285</v>
      </c>
      <c r="I7" s="5">
        <v>203.2</v>
      </c>
      <c r="J7" s="16" t="s">
        <v>68</v>
      </c>
      <c r="K7" s="8" t="s">
        <v>66</v>
      </c>
      <c r="L7" s="10" t="s">
        <v>383</v>
      </c>
      <c r="M7" s="13"/>
      <c r="N7" s="119">
        <v>1465</v>
      </c>
      <c r="O7" s="119">
        <v>1463</v>
      </c>
    </row>
    <row r="8" spans="2:18" x14ac:dyDescent="0.2">
      <c r="B8" s="7"/>
      <c r="C8" s="122"/>
      <c r="D8" s="17"/>
      <c r="E8" s="5"/>
      <c r="F8" s="4"/>
      <c r="G8" s="5"/>
      <c r="H8" s="4"/>
      <c r="I8" s="5"/>
      <c r="J8" s="16"/>
      <c r="K8" s="8"/>
      <c r="L8" s="10"/>
      <c r="M8" s="13"/>
    </row>
    <row r="9" spans="2:18" x14ac:dyDescent="0.2">
      <c r="B9" s="7"/>
      <c r="C9" s="122"/>
      <c r="D9" s="17"/>
      <c r="E9" s="5"/>
      <c r="F9" s="4"/>
      <c r="G9" s="5"/>
      <c r="H9" s="4"/>
      <c r="I9" s="5"/>
      <c r="J9" s="16"/>
      <c r="K9" s="8"/>
      <c r="L9" s="10"/>
      <c r="M9" s="13"/>
      <c r="N9" s="223"/>
    </row>
    <row r="10" spans="2:18" x14ac:dyDescent="0.2">
      <c r="B10" s="7"/>
      <c r="C10" s="122"/>
      <c r="D10" s="17"/>
      <c r="E10" s="5"/>
      <c r="F10" s="4"/>
      <c r="G10" s="5"/>
      <c r="H10" s="4"/>
      <c r="I10" s="5"/>
      <c r="J10" s="16"/>
      <c r="K10" s="8"/>
      <c r="L10" s="10"/>
      <c r="M10" s="13"/>
    </row>
    <row r="11" spans="2:18" x14ac:dyDescent="0.2">
      <c r="B11" s="7"/>
      <c r="C11" s="22"/>
      <c r="D11" s="17"/>
      <c r="E11" s="5"/>
      <c r="F11" s="4"/>
      <c r="G11" s="5"/>
      <c r="H11" s="4"/>
      <c r="I11" s="5"/>
      <c r="J11" s="16"/>
      <c r="K11" s="8"/>
      <c r="L11" s="10"/>
      <c r="M11" s="13"/>
    </row>
  </sheetData>
  <mergeCells count="1">
    <mergeCell ref="N1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26"/>
  <sheetViews>
    <sheetView zoomScale="75" workbookViewId="0">
      <selection activeCell="K1" sqref="K1:O3"/>
    </sheetView>
  </sheetViews>
  <sheetFormatPr defaultRowHeight="12.75" x14ac:dyDescent="0.2"/>
  <cols>
    <col min="1" max="1" width="14.5703125" customWidth="1"/>
    <col min="2" max="2" width="5.85546875" style="2" customWidth="1"/>
    <col min="12" max="12" width="9.7109375" style="2" customWidth="1"/>
    <col min="13" max="13" width="6.7109375" customWidth="1"/>
    <col min="15" max="15" width="11.140625" customWidth="1"/>
  </cols>
  <sheetData>
    <row r="1" spans="1:15" ht="18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65" t="s">
        <v>1</v>
      </c>
      <c r="L1" s="266"/>
      <c r="M1" s="266"/>
      <c r="N1" s="266"/>
      <c r="O1" s="267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  <c r="N2" s="269"/>
      <c r="O2" s="270"/>
    </row>
    <row r="3" spans="1:15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49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247</v>
      </c>
      <c r="B5" s="21"/>
      <c r="C5" s="17" t="s">
        <v>250</v>
      </c>
      <c r="D5" s="5">
        <v>1186</v>
      </c>
      <c r="E5" s="4">
        <v>250</v>
      </c>
      <c r="F5" s="5">
        <v>150.5</v>
      </c>
      <c r="G5" s="4">
        <v>285</v>
      </c>
      <c r="H5" s="5">
        <v>203.2</v>
      </c>
      <c r="I5" s="17" t="s">
        <v>68</v>
      </c>
      <c r="J5" s="8" t="s">
        <v>66</v>
      </c>
      <c r="K5" s="6"/>
      <c r="L5" s="5">
        <v>1.4179999999999999</v>
      </c>
      <c r="M5" s="6"/>
      <c r="N5" s="6"/>
      <c r="O5" s="5"/>
    </row>
    <row r="6" spans="1:15" x14ac:dyDescent="0.2">
      <c r="A6" s="7" t="s">
        <v>248</v>
      </c>
      <c r="B6" s="21"/>
      <c r="C6" s="17">
        <v>1265</v>
      </c>
      <c r="D6" s="5">
        <v>1186</v>
      </c>
      <c r="E6" s="4">
        <v>250</v>
      </c>
      <c r="F6" s="5">
        <v>150.5</v>
      </c>
      <c r="G6" s="4">
        <v>285</v>
      </c>
      <c r="H6" s="5">
        <v>203.2</v>
      </c>
      <c r="I6" s="17" t="s">
        <v>68</v>
      </c>
      <c r="J6" s="8" t="s">
        <v>66</v>
      </c>
      <c r="K6" s="6"/>
      <c r="L6" s="5">
        <v>1.4179999999999999</v>
      </c>
      <c r="M6" s="6"/>
      <c r="N6" s="6"/>
      <c r="O6" s="5"/>
    </row>
    <row r="7" spans="1:15" x14ac:dyDescent="0.2">
      <c r="A7" s="7" t="s">
        <v>249</v>
      </c>
      <c r="B7" s="21"/>
      <c r="C7" s="17">
        <v>1265</v>
      </c>
      <c r="D7" s="5">
        <v>1186</v>
      </c>
      <c r="E7" s="4">
        <v>250</v>
      </c>
      <c r="F7" s="5">
        <v>150.5</v>
      </c>
      <c r="G7" s="4">
        <v>285</v>
      </c>
      <c r="H7" s="5">
        <v>203.2</v>
      </c>
      <c r="I7" s="17" t="s">
        <v>68</v>
      </c>
      <c r="J7" s="8" t="s">
        <v>66</v>
      </c>
      <c r="K7" s="6"/>
      <c r="L7" s="5">
        <v>1.4179999999999999</v>
      </c>
      <c r="M7" s="6"/>
      <c r="N7" s="6"/>
      <c r="O7" s="5"/>
    </row>
    <row r="8" spans="1:15" x14ac:dyDescent="0.2">
      <c r="A8" s="7" t="s">
        <v>246</v>
      </c>
      <c r="B8" s="21"/>
      <c r="C8" s="17" t="s">
        <v>245</v>
      </c>
      <c r="D8" s="5">
        <v>1186</v>
      </c>
      <c r="E8" s="4">
        <v>160</v>
      </c>
      <c r="F8" s="5">
        <v>150.5</v>
      </c>
      <c r="G8" s="4">
        <v>205</v>
      </c>
      <c r="H8" s="5">
        <v>203.2</v>
      </c>
      <c r="I8" s="17" t="s">
        <v>68</v>
      </c>
      <c r="J8" s="8" t="s">
        <v>66</v>
      </c>
      <c r="K8" s="6"/>
      <c r="L8" s="5">
        <v>1.278</v>
      </c>
      <c r="M8" s="6"/>
      <c r="N8" s="6"/>
      <c r="O8" s="5"/>
    </row>
    <row r="9" spans="1:15" x14ac:dyDescent="0.2">
      <c r="A9" s="7"/>
      <c r="B9" s="7"/>
      <c r="C9" s="17"/>
      <c r="D9" s="5"/>
      <c r="E9" s="4"/>
      <c r="F9" s="5"/>
      <c r="G9" s="4"/>
      <c r="H9" s="5"/>
      <c r="I9" s="17"/>
      <c r="J9" s="8"/>
      <c r="K9" s="6"/>
      <c r="L9" s="5"/>
      <c r="M9" s="6"/>
      <c r="N9" s="6"/>
      <c r="O9" s="5"/>
    </row>
    <row r="10" spans="1:15" x14ac:dyDescent="0.2">
      <c r="A10" s="7" t="s">
        <v>251</v>
      </c>
      <c r="B10" s="7"/>
      <c r="C10" s="17">
        <v>1584</v>
      </c>
      <c r="D10" s="5">
        <v>1562</v>
      </c>
      <c r="E10" s="4">
        <v>160</v>
      </c>
      <c r="F10" s="5">
        <v>150.5</v>
      </c>
      <c r="G10" s="4">
        <v>205</v>
      </c>
      <c r="H10" s="5">
        <v>203.2</v>
      </c>
      <c r="I10" s="17" t="s">
        <v>68</v>
      </c>
      <c r="J10" s="8" t="s">
        <v>66</v>
      </c>
      <c r="K10" s="35"/>
      <c r="L10" s="5">
        <v>1.3740000000000001</v>
      </c>
      <c r="M10" s="6"/>
      <c r="N10" s="6"/>
      <c r="O10" s="5"/>
    </row>
    <row r="11" spans="1:15" x14ac:dyDescent="0.2">
      <c r="A11" s="7" t="s">
        <v>252</v>
      </c>
      <c r="B11" s="7"/>
      <c r="C11" s="17">
        <v>1584</v>
      </c>
      <c r="D11" s="5">
        <v>1562</v>
      </c>
      <c r="E11" s="4">
        <v>160</v>
      </c>
      <c r="F11" s="5">
        <v>150.5</v>
      </c>
      <c r="G11" s="4">
        <v>205</v>
      </c>
      <c r="H11" s="5">
        <v>203.2</v>
      </c>
      <c r="I11" s="17" t="s">
        <v>68</v>
      </c>
      <c r="J11" s="8" t="s">
        <v>66</v>
      </c>
      <c r="K11" s="6"/>
      <c r="L11" s="5">
        <v>1.3740000000000001</v>
      </c>
      <c r="M11" s="6"/>
      <c r="N11" s="6"/>
      <c r="O11" s="5"/>
    </row>
    <row r="12" spans="1:15" x14ac:dyDescent="0.2">
      <c r="A12" s="7" t="s">
        <v>253</v>
      </c>
      <c r="B12" s="7"/>
      <c r="C12" s="17">
        <v>1584</v>
      </c>
      <c r="D12" s="5">
        <v>1562</v>
      </c>
      <c r="E12" s="4">
        <v>250</v>
      </c>
      <c r="F12" s="5">
        <v>150.5</v>
      </c>
      <c r="G12" s="4">
        <v>285</v>
      </c>
      <c r="H12" s="5">
        <v>203.2</v>
      </c>
      <c r="I12" s="17" t="s">
        <v>68</v>
      </c>
      <c r="J12" s="8" t="s">
        <v>66</v>
      </c>
      <c r="K12" s="6"/>
      <c r="L12" s="5">
        <v>1.3740000000000001</v>
      </c>
      <c r="M12" s="6"/>
      <c r="N12" s="6"/>
      <c r="O12" s="5"/>
    </row>
    <row r="13" spans="1:15" x14ac:dyDescent="0.2">
      <c r="A13" s="7" t="s">
        <v>254</v>
      </c>
      <c r="B13" s="7"/>
      <c r="C13" s="17">
        <v>1584</v>
      </c>
      <c r="D13" s="5">
        <v>1562</v>
      </c>
      <c r="E13" s="4">
        <v>250</v>
      </c>
      <c r="F13" s="5">
        <v>150.5</v>
      </c>
      <c r="G13" s="4">
        <v>285</v>
      </c>
      <c r="H13" s="5">
        <v>203.2</v>
      </c>
      <c r="I13" s="17" t="s">
        <v>68</v>
      </c>
      <c r="J13" s="8" t="s">
        <v>66</v>
      </c>
      <c r="K13" s="6"/>
      <c r="L13" s="5">
        <v>1.3740000000000001</v>
      </c>
      <c r="M13" s="6"/>
      <c r="N13" s="6"/>
      <c r="O13" s="5"/>
    </row>
    <row r="14" spans="1:15" x14ac:dyDescent="0.2">
      <c r="A14" s="7"/>
      <c r="B14" s="7"/>
      <c r="C14" s="17"/>
      <c r="D14" s="5"/>
      <c r="E14" s="4"/>
      <c r="F14" s="5"/>
      <c r="G14" s="4"/>
      <c r="H14" s="5"/>
      <c r="I14" s="17"/>
      <c r="J14" s="8"/>
      <c r="K14" s="6"/>
      <c r="L14" s="5"/>
      <c r="M14" s="6"/>
      <c r="N14" s="6"/>
      <c r="O14" s="5"/>
    </row>
    <row r="15" spans="1:15" x14ac:dyDescent="0.2">
      <c r="A15" s="7" t="s">
        <v>264</v>
      </c>
      <c r="B15" s="7"/>
      <c r="C15" s="17" t="s">
        <v>271</v>
      </c>
      <c r="D15" s="5">
        <v>930</v>
      </c>
      <c r="E15" s="4"/>
      <c r="F15" s="5">
        <v>150.5</v>
      </c>
      <c r="G15" s="4"/>
      <c r="H15" s="5">
        <v>203.2</v>
      </c>
      <c r="I15" s="17"/>
      <c r="J15" s="8" t="s">
        <v>66</v>
      </c>
      <c r="K15" s="6"/>
      <c r="L15" s="5">
        <v>1.5289999999999999</v>
      </c>
      <c r="M15" s="6"/>
      <c r="N15" s="6"/>
      <c r="O15" s="5"/>
    </row>
    <row r="16" spans="1:15" x14ac:dyDescent="0.2">
      <c r="A16" s="7" t="s">
        <v>265</v>
      </c>
      <c r="B16" s="7"/>
      <c r="C16" s="17" t="s">
        <v>271</v>
      </c>
      <c r="D16" s="5">
        <v>930</v>
      </c>
      <c r="E16" s="4"/>
      <c r="F16" s="5">
        <v>150.5</v>
      </c>
      <c r="G16" s="4"/>
      <c r="H16" s="5">
        <v>203.2</v>
      </c>
      <c r="I16" s="17"/>
      <c r="J16" s="8" t="s">
        <v>66</v>
      </c>
      <c r="K16" s="6"/>
      <c r="L16" s="5">
        <v>1.5289999999999999</v>
      </c>
      <c r="M16" s="6"/>
      <c r="N16" s="6"/>
      <c r="O16" s="5"/>
    </row>
    <row r="17" spans="1:15" x14ac:dyDescent="0.2">
      <c r="A17" s="7" t="s">
        <v>266</v>
      </c>
      <c r="B17" s="7"/>
      <c r="C17" s="17" t="s">
        <v>271</v>
      </c>
      <c r="D17" s="5">
        <v>930</v>
      </c>
      <c r="E17" s="4"/>
      <c r="F17" s="5">
        <v>150.5</v>
      </c>
      <c r="G17" s="4"/>
      <c r="H17" s="5">
        <v>203.2</v>
      </c>
      <c r="I17" s="17"/>
      <c r="J17" s="8" t="s">
        <v>66</v>
      </c>
      <c r="K17" s="6"/>
      <c r="L17" s="5">
        <v>1.5289999999999999</v>
      </c>
      <c r="M17" s="6"/>
      <c r="N17" s="6"/>
      <c r="O17" s="5"/>
    </row>
    <row r="18" spans="1:15" x14ac:dyDescent="0.2">
      <c r="A18" s="7" t="s">
        <v>267</v>
      </c>
      <c r="B18" s="7"/>
      <c r="C18" s="17" t="s">
        <v>271</v>
      </c>
      <c r="D18" s="5">
        <v>930</v>
      </c>
      <c r="E18" s="4"/>
      <c r="F18" s="5">
        <v>150.5</v>
      </c>
      <c r="G18" s="4"/>
      <c r="H18" s="5">
        <v>203.2</v>
      </c>
      <c r="I18" s="17"/>
      <c r="J18" s="8" t="s">
        <v>66</v>
      </c>
      <c r="K18" s="6"/>
      <c r="L18" s="5">
        <v>1.5289999999999999</v>
      </c>
      <c r="M18" s="6"/>
      <c r="N18" s="6"/>
      <c r="O18" s="5"/>
    </row>
    <row r="19" spans="1:15" x14ac:dyDescent="0.2">
      <c r="A19" s="7" t="s">
        <v>246</v>
      </c>
      <c r="B19" s="7"/>
      <c r="C19" s="17"/>
      <c r="D19" s="5"/>
      <c r="E19" s="4"/>
      <c r="F19" s="5"/>
      <c r="G19" s="4"/>
      <c r="H19" s="5"/>
      <c r="I19" s="17"/>
      <c r="J19" s="8"/>
      <c r="K19" s="6"/>
      <c r="L19" s="5">
        <v>1.4990000000000001</v>
      </c>
      <c r="M19" s="6"/>
      <c r="N19" s="6"/>
      <c r="O19" s="5"/>
    </row>
    <row r="20" spans="1:15" x14ac:dyDescent="0.2">
      <c r="A20" s="7"/>
      <c r="B20" s="7"/>
      <c r="C20" s="17"/>
      <c r="D20" s="5"/>
      <c r="E20" s="4"/>
      <c r="F20" s="5"/>
      <c r="G20" s="4"/>
      <c r="H20" s="5"/>
      <c r="I20" s="17"/>
      <c r="J20" s="8"/>
      <c r="K20" s="6"/>
      <c r="L20" s="5"/>
      <c r="M20" s="6"/>
      <c r="N20" s="6"/>
      <c r="O20" s="5"/>
    </row>
    <row r="21" spans="1:15" x14ac:dyDescent="0.2">
      <c r="A21" s="7" t="s">
        <v>268</v>
      </c>
      <c r="B21" s="7"/>
      <c r="C21" s="17" t="s">
        <v>272</v>
      </c>
      <c r="D21" s="5">
        <v>930</v>
      </c>
      <c r="E21" s="4">
        <v>160</v>
      </c>
      <c r="F21" s="5">
        <v>150.5</v>
      </c>
      <c r="G21" s="4">
        <v>205</v>
      </c>
      <c r="H21" s="5">
        <v>203.2</v>
      </c>
      <c r="I21" s="17" t="s">
        <v>75</v>
      </c>
      <c r="J21" s="8" t="s">
        <v>66</v>
      </c>
      <c r="K21" s="6"/>
      <c r="L21" s="5">
        <v>1.506</v>
      </c>
      <c r="M21" s="6"/>
      <c r="N21" s="6"/>
      <c r="O21" s="5"/>
    </row>
    <row r="22" spans="1:15" x14ac:dyDescent="0.2">
      <c r="A22" s="7" t="s">
        <v>269</v>
      </c>
      <c r="B22" s="7"/>
      <c r="C22" s="17" t="s">
        <v>272</v>
      </c>
      <c r="D22" s="5">
        <v>930</v>
      </c>
      <c r="E22" s="4">
        <v>160</v>
      </c>
      <c r="F22" s="5">
        <v>150.5</v>
      </c>
      <c r="G22" s="4">
        <v>205</v>
      </c>
      <c r="H22" s="5">
        <v>203.2</v>
      </c>
      <c r="I22" s="17" t="s">
        <v>273</v>
      </c>
      <c r="J22" s="8" t="s">
        <v>66</v>
      </c>
      <c r="K22" s="6"/>
      <c r="L22" s="5">
        <v>1.506</v>
      </c>
      <c r="M22" s="6"/>
      <c r="N22" s="6"/>
      <c r="O22" s="5"/>
    </row>
    <row r="23" spans="1:15" x14ac:dyDescent="0.2">
      <c r="A23" s="7" t="s">
        <v>270</v>
      </c>
      <c r="B23" s="7"/>
      <c r="C23" s="17" t="s">
        <v>272</v>
      </c>
      <c r="D23" s="5">
        <v>930</v>
      </c>
      <c r="E23" s="4">
        <v>160</v>
      </c>
      <c r="F23" s="5">
        <v>150.5</v>
      </c>
      <c r="G23" s="4">
        <v>205</v>
      </c>
      <c r="H23" s="5">
        <v>203.2</v>
      </c>
      <c r="I23" s="17" t="s">
        <v>274</v>
      </c>
      <c r="J23" s="8" t="s">
        <v>66</v>
      </c>
      <c r="K23" s="6"/>
      <c r="L23" s="5">
        <v>1.506</v>
      </c>
      <c r="M23" s="6"/>
      <c r="N23" s="6"/>
      <c r="O23" s="5"/>
    </row>
    <row r="24" spans="1:15" x14ac:dyDescent="0.2">
      <c r="A24" s="7" t="s">
        <v>246</v>
      </c>
      <c r="B24" s="7"/>
      <c r="C24" s="17"/>
      <c r="D24" s="5"/>
      <c r="E24" s="4"/>
      <c r="F24" s="5"/>
      <c r="G24" s="4"/>
      <c r="H24" s="5"/>
      <c r="I24" s="17"/>
      <c r="J24" s="8"/>
      <c r="K24" s="6"/>
      <c r="L24" s="5">
        <v>1.39</v>
      </c>
      <c r="M24" s="6"/>
      <c r="N24" s="6"/>
      <c r="O24" s="5"/>
    </row>
    <row r="25" spans="1:15" ht="15" x14ac:dyDescent="0.2">
      <c r="A25" s="18" t="s">
        <v>57</v>
      </c>
      <c r="B25" s="18"/>
      <c r="C25" s="17"/>
      <c r="D25" s="5"/>
      <c r="E25" s="4"/>
      <c r="F25" s="5"/>
      <c r="G25" s="4"/>
      <c r="H25" s="5"/>
      <c r="I25" s="41"/>
      <c r="J25" s="8"/>
      <c r="K25" s="6"/>
      <c r="L25" s="5"/>
      <c r="M25" s="6"/>
      <c r="N25" s="6"/>
      <c r="O25" s="5"/>
    </row>
    <row r="26" spans="1:15" x14ac:dyDescent="0.2">
      <c r="A26" s="35"/>
      <c r="B26" s="45"/>
      <c r="C26" s="32"/>
      <c r="D26" s="33"/>
      <c r="E26" s="32"/>
      <c r="F26" s="33"/>
      <c r="G26" s="32"/>
      <c r="H26" s="33"/>
      <c r="I26" s="32"/>
      <c r="J26" s="33"/>
      <c r="K26" s="35"/>
      <c r="L26" s="43"/>
      <c r="M26" s="35"/>
      <c r="N26" s="35"/>
      <c r="O26" s="33"/>
    </row>
  </sheetData>
  <sheetProtection password="D243" sheet="1" objects="1" scenarios="1"/>
  <mergeCells count="2">
    <mergeCell ref="A1:J2"/>
    <mergeCell ref="K1:O2"/>
  </mergeCells>
  <phoneticPr fontId="0" type="noConversion"/>
  <printOptions gridLines="1"/>
  <pageMargins left="0.35" right="0.55000000000000004" top="1" bottom="1" header="0.5" footer="0.5"/>
  <pageSetup paperSize="9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0"/>
  <sheetViews>
    <sheetView zoomScale="75" workbookViewId="0">
      <selection activeCell="O17" sqref="O17"/>
    </sheetView>
  </sheetViews>
  <sheetFormatPr defaultRowHeight="12.75" x14ac:dyDescent="0.2"/>
  <cols>
    <col min="1" max="1" width="14.5703125" customWidth="1"/>
    <col min="2" max="2" width="5.85546875" style="2" customWidth="1"/>
    <col min="12" max="12" width="9.7109375" style="2" customWidth="1"/>
    <col min="13" max="13" width="6.7109375" customWidth="1"/>
    <col min="15" max="15" width="11.140625" customWidth="1"/>
  </cols>
  <sheetData>
    <row r="1" spans="1:15" ht="18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36</v>
      </c>
      <c r="B5" s="21"/>
      <c r="C5" s="17">
        <v>1271</v>
      </c>
      <c r="D5" s="5">
        <v>1186</v>
      </c>
      <c r="E5" s="4">
        <v>160</v>
      </c>
      <c r="F5" s="5">
        <v>150.5</v>
      </c>
      <c r="G5" s="4">
        <v>205</v>
      </c>
      <c r="H5" s="5">
        <v>203.2</v>
      </c>
      <c r="I5" s="40" t="s">
        <v>67</v>
      </c>
      <c r="J5" s="9" t="s">
        <v>66</v>
      </c>
      <c r="K5" s="6"/>
      <c r="L5" s="5">
        <v>1.506</v>
      </c>
      <c r="M5" s="6"/>
      <c r="N5" s="6"/>
      <c r="O5" s="5"/>
    </row>
    <row r="6" spans="1:15" x14ac:dyDescent="0.2">
      <c r="A6" s="7" t="s">
        <v>37</v>
      </c>
      <c r="B6" s="21"/>
      <c r="C6" s="17">
        <v>1265</v>
      </c>
      <c r="D6" s="5">
        <v>1186</v>
      </c>
      <c r="E6" s="4">
        <v>250</v>
      </c>
      <c r="F6" s="5">
        <v>150.5</v>
      </c>
      <c r="G6" s="4">
        <v>285</v>
      </c>
      <c r="H6" s="5">
        <v>203.2</v>
      </c>
      <c r="I6" s="40" t="s">
        <v>67</v>
      </c>
      <c r="J6" s="9" t="s">
        <v>66</v>
      </c>
      <c r="K6" s="6"/>
      <c r="L6" s="5">
        <v>1.4179999999999999</v>
      </c>
      <c r="M6" s="6"/>
      <c r="N6" s="6"/>
      <c r="O6" s="5"/>
    </row>
    <row r="7" spans="1:15" x14ac:dyDescent="0.2">
      <c r="A7" s="7" t="s">
        <v>38</v>
      </c>
      <c r="B7" s="21"/>
      <c r="C7" s="17">
        <v>1265</v>
      </c>
      <c r="D7" s="5">
        <v>1186</v>
      </c>
      <c r="E7" s="4">
        <v>250</v>
      </c>
      <c r="F7" s="5">
        <v>150.5</v>
      </c>
      <c r="G7" s="4">
        <v>285</v>
      </c>
      <c r="H7" s="5">
        <v>203.2</v>
      </c>
      <c r="I7" s="40" t="s">
        <v>67</v>
      </c>
      <c r="J7" s="9" t="s">
        <v>66</v>
      </c>
      <c r="K7" s="6"/>
      <c r="L7" s="5">
        <v>1.4179999999999999</v>
      </c>
      <c r="M7" s="6"/>
      <c r="N7" s="6"/>
      <c r="O7" s="5"/>
    </row>
    <row r="8" spans="1:15" x14ac:dyDescent="0.2">
      <c r="A8" s="7" t="s">
        <v>39</v>
      </c>
      <c r="B8" s="21"/>
      <c r="C8" s="17">
        <v>1265</v>
      </c>
      <c r="D8" s="5">
        <v>1186</v>
      </c>
      <c r="E8" s="4">
        <v>250</v>
      </c>
      <c r="F8" s="5">
        <v>150.5</v>
      </c>
      <c r="G8" s="4">
        <v>285</v>
      </c>
      <c r="H8" s="5">
        <v>203.2</v>
      </c>
      <c r="I8" s="40" t="s">
        <v>67</v>
      </c>
      <c r="J8" s="9" t="s">
        <v>66</v>
      </c>
      <c r="K8" s="6"/>
      <c r="L8" s="5">
        <v>1.278</v>
      </c>
      <c r="M8" s="6"/>
      <c r="N8" s="6"/>
      <c r="O8" s="5"/>
    </row>
    <row r="9" spans="1:15" x14ac:dyDescent="0.2">
      <c r="A9" s="7"/>
      <c r="B9" s="7"/>
      <c r="C9" s="17"/>
      <c r="D9" s="5"/>
      <c r="E9" s="4"/>
      <c r="F9" s="5"/>
      <c r="G9" s="4"/>
      <c r="H9" s="5"/>
      <c r="I9" s="40"/>
      <c r="J9" s="9"/>
      <c r="K9" s="6"/>
      <c r="L9" s="5"/>
      <c r="M9" s="6"/>
      <c r="N9" s="6"/>
      <c r="O9" s="5"/>
    </row>
    <row r="10" spans="1:15" x14ac:dyDescent="0.2">
      <c r="A10" s="7" t="s">
        <v>40</v>
      </c>
      <c r="B10" s="7"/>
      <c r="C10" s="17">
        <v>1584</v>
      </c>
      <c r="D10" s="5">
        <v>1562</v>
      </c>
      <c r="E10" s="4">
        <v>160</v>
      </c>
      <c r="F10" s="5">
        <v>150.5</v>
      </c>
      <c r="G10" s="4">
        <v>205</v>
      </c>
      <c r="H10" s="5">
        <v>203.2</v>
      </c>
      <c r="I10" s="40" t="s">
        <v>68</v>
      </c>
      <c r="J10" s="9" t="s">
        <v>66</v>
      </c>
      <c r="K10" s="35"/>
      <c r="L10" s="5">
        <v>1.3939999999999999</v>
      </c>
      <c r="M10" s="6"/>
      <c r="N10" s="6"/>
      <c r="O10" s="5"/>
    </row>
    <row r="11" spans="1:15" x14ac:dyDescent="0.2">
      <c r="A11" s="7" t="s">
        <v>41</v>
      </c>
      <c r="B11" s="7"/>
      <c r="C11" s="17">
        <v>1584</v>
      </c>
      <c r="D11" s="5">
        <v>1562</v>
      </c>
      <c r="E11" s="4">
        <v>160</v>
      </c>
      <c r="F11" s="5">
        <v>150.5</v>
      </c>
      <c r="G11" s="4">
        <v>205</v>
      </c>
      <c r="H11" s="5">
        <v>203.2</v>
      </c>
      <c r="I11" s="40" t="s">
        <v>68</v>
      </c>
      <c r="J11" s="9" t="s">
        <v>66</v>
      </c>
      <c r="K11" s="6"/>
      <c r="L11" s="5">
        <v>1.323</v>
      </c>
      <c r="M11" s="6"/>
      <c r="N11" s="6"/>
      <c r="O11" s="5"/>
    </row>
    <row r="12" spans="1:15" x14ac:dyDescent="0.2">
      <c r="A12" s="7" t="s">
        <v>42</v>
      </c>
      <c r="B12" s="7"/>
      <c r="C12" s="17">
        <v>1584</v>
      </c>
      <c r="D12" s="5">
        <v>1562</v>
      </c>
      <c r="E12" s="4">
        <v>250</v>
      </c>
      <c r="F12" s="5">
        <v>150.5</v>
      </c>
      <c r="G12" s="4">
        <v>285</v>
      </c>
      <c r="H12" s="5">
        <v>203.2</v>
      </c>
      <c r="I12" s="40" t="s">
        <v>68</v>
      </c>
      <c r="J12" s="9" t="s">
        <v>66</v>
      </c>
      <c r="K12" s="6"/>
      <c r="L12" s="5">
        <v>1.3740000000000001</v>
      </c>
      <c r="M12" s="6"/>
      <c r="N12" s="6"/>
      <c r="O12" s="5"/>
    </row>
    <row r="13" spans="1:15" x14ac:dyDescent="0.2">
      <c r="A13" s="7" t="s">
        <v>43</v>
      </c>
      <c r="B13" s="7"/>
      <c r="C13" s="17">
        <v>1584</v>
      </c>
      <c r="D13" s="5">
        <v>1562</v>
      </c>
      <c r="E13" s="4">
        <v>250</v>
      </c>
      <c r="F13" s="5">
        <v>150.5</v>
      </c>
      <c r="G13" s="4">
        <v>285</v>
      </c>
      <c r="H13" s="5">
        <v>203.2</v>
      </c>
      <c r="I13" s="40" t="s">
        <v>68</v>
      </c>
      <c r="J13" s="9" t="s">
        <v>66</v>
      </c>
      <c r="K13" s="6"/>
      <c r="L13" s="5">
        <v>1.3029999999999999</v>
      </c>
      <c r="M13" s="6"/>
      <c r="N13" s="6"/>
      <c r="O13" s="5"/>
    </row>
    <row r="14" spans="1:15" x14ac:dyDescent="0.2">
      <c r="A14" s="7"/>
      <c r="B14" s="7"/>
      <c r="C14" s="17"/>
      <c r="D14" s="5"/>
      <c r="E14" s="4"/>
      <c r="F14" s="5"/>
      <c r="G14" s="4"/>
      <c r="H14" s="5"/>
      <c r="I14" s="40"/>
      <c r="J14" s="9"/>
      <c r="K14" s="6"/>
      <c r="L14" s="5"/>
      <c r="M14" s="6"/>
      <c r="N14" s="6"/>
      <c r="O14" s="5"/>
    </row>
    <row r="15" spans="1:15" x14ac:dyDescent="0.2">
      <c r="A15" s="7" t="s">
        <v>70</v>
      </c>
      <c r="B15" s="7"/>
      <c r="C15" s="17">
        <v>925</v>
      </c>
      <c r="D15" s="5">
        <v>930</v>
      </c>
      <c r="E15" s="4">
        <v>160</v>
      </c>
      <c r="F15" s="5">
        <v>150.5</v>
      </c>
      <c r="G15" s="4">
        <v>205</v>
      </c>
      <c r="H15" s="5">
        <v>203.2</v>
      </c>
      <c r="I15" s="40" t="s">
        <v>75</v>
      </c>
      <c r="J15" s="9" t="s">
        <v>66</v>
      </c>
      <c r="K15" s="6"/>
      <c r="L15" s="5">
        <v>1.5289999999999999</v>
      </c>
      <c r="M15" s="6"/>
      <c r="N15" s="6"/>
      <c r="O15" s="5"/>
    </row>
    <row r="16" spans="1:15" x14ac:dyDescent="0.2">
      <c r="A16" s="7" t="s">
        <v>71</v>
      </c>
      <c r="B16" s="7"/>
      <c r="C16" s="17">
        <v>925</v>
      </c>
      <c r="D16" s="5">
        <v>930</v>
      </c>
      <c r="E16" s="4">
        <v>160</v>
      </c>
      <c r="F16" s="5">
        <v>150.5</v>
      </c>
      <c r="G16" s="4">
        <v>205</v>
      </c>
      <c r="H16" s="5">
        <v>203.2</v>
      </c>
      <c r="I16" s="40" t="s">
        <v>75</v>
      </c>
      <c r="J16" s="9" t="s">
        <v>66</v>
      </c>
      <c r="K16" s="6"/>
      <c r="L16" s="5">
        <v>1.4990000000000001</v>
      </c>
      <c r="M16" s="6"/>
      <c r="N16" s="6"/>
      <c r="O16" s="5"/>
    </row>
    <row r="17" spans="1:15" x14ac:dyDescent="0.2">
      <c r="A17" s="7"/>
      <c r="B17" s="7"/>
      <c r="C17" s="17"/>
      <c r="D17" s="5"/>
      <c r="E17" s="4"/>
      <c r="F17" s="5"/>
      <c r="G17" s="4"/>
      <c r="H17" s="5"/>
      <c r="I17" s="40"/>
      <c r="J17" s="9"/>
      <c r="K17" s="6"/>
      <c r="L17" s="5"/>
      <c r="M17" s="6"/>
      <c r="N17" s="6"/>
      <c r="O17" s="5"/>
    </row>
    <row r="18" spans="1:15" x14ac:dyDescent="0.2">
      <c r="A18" s="7" t="s">
        <v>72</v>
      </c>
      <c r="B18" s="7"/>
      <c r="C18" s="17">
        <v>1151</v>
      </c>
      <c r="D18" s="5">
        <v>930</v>
      </c>
      <c r="E18" s="4">
        <v>160</v>
      </c>
      <c r="F18" s="5">
        <v>150.5</v>
      </c>
      <c r="G18" s="4">
        <v>205</v>
      </c>
      <c r="H18" s="5">
        <v>203.2</v>
      </c>
      <c r="I18" s="40" t="s">
        <v>75</v>
      </c>
      <c r="J18" s="9" t="s">
        <v>66</v>
      </c>
      <c r="K18" s="6"/>
      <c r="L18" s="42">
        <v>1506</v>
      </c>
      <c r="M18" s="6"/>
      <c r="N18" s="6"/>
      <c r="O18" s="5"/>
    </row>
    <row r="19" spans="1:15" x14ac:dyDescent="0.2">
      <c r="A19" s="7" t="s">
        <v>73</v>
      </c>
      <c r="B19" s="7"/>
      <c r="C19" s="17">
        <v>1151</v>
      </c>
      <c r="D19" s="5">
        <v>930</v>
      </c>
      <c r="E19" s="4">
        <v>160</v>
      </c>
      <c r="F19" s="5">
        <v>150.5</v>
      </c>
      <c r="G19" s="4">
        <v>205</v>
      </c>
      <c r="H19" s="5">
        <v>203.2</v>
      </c>
      <c r="I19" s="40" t="s">
        <v>75</v>
      </c>
      <c r="J19" s="9" t="s">
        <v>66</v>
      </c>
      <c r="K19" s="6"/>
      <c r="L19" s="5" t="s">
        <v>74</v>
      </c>
      <c r="M19" s="6"/>
      <c r="N19" s="6"/>
      <c r="O19" s="5"/>
    </row>
    <row r="20" spans="1:15" x14ac:dyDescent="0.2">
      <c r="A20" s="7"/>
      <c r="B20" s="7"/>
      <c r="C20" s="17"/>
      <c r="D20" s="5"/>
      <c r="E20" s="4"/>
      <c r="F20" s="5"/>
      <c r="G20" s="4"/>
      <c r="H20" s="5"/>
      <c r="I20" s="40"/>
      <c r="J20" s="9"/>
      <c r="K20" s="6"/>
      <c r="L20" s="5"/>
      <c r="M20" s="6"/>
      <c r="N20" s="6"/>
      <c r="O20" s="5"/>
    </row>
    <row r="21" spans="1:15" ht="15" x14ac:dyDescent="0.2">
      <c r="A21" s="18" t="s">
        <v>57</v>
      </c>
      <c r="B21" s="18"/>
      <c r="C21" s="17"/>
      <c r="D21" s="5"/>
      <c r="E21" s="4"/>
      <c r="F21" s="5"/>
      <c r="G21" s="4"/>
      <c r="H21" s="5"/>
      <c r="I21" s="41"/>
      <c r="J21" s="9"/>
      <c r="K21" s="6"/>
      <c r="L21" s="5"/>
      <c r="M21" s="6"/>
      <c r="N21" s="6"/>
      <c r="O21" s="5"/>
    </row>
    <row r="22" spans="1:15" x14ac:dyDescent="0.2">
      <c r="A22" s="35"/>
      <c r="B22" s="45"/>
      <c r="C22" s="32"/>
      <c r="D22" s="33"/>
      <c r="E22" s="32"/>
      <c r="F22" s="33"/>
      <c r="G22" s="32"/>
      <c r="H22" s="33"/>
      <c r="I22" s="32"/>
      <c r="J22" s="33"/>
      <c r="K22" s="35"/>
      <c r="L22" s="43"/>
      <c r="M22" s="35"/>
      <c r="N22" s="35"/>
      <c r="O22" s="33"/>
    </row>
    <row r="23" spans="1:15" x14ac:dyDescent="0.2">
      <c r="A23" s="7" t="s">
        <v>150</v>
      </c>
      <c r="B23" s="45">
        <v>30</v>
      </c>
      <c r="C23" s="32"/>
      <c r="D23" s="33"/>
      <c r="E23" s="32"/>
      <c r="F23" s="33"/>
      <c r="G23" s="32"/>
      <c r="H23" s="33"/>
      <c r="I23" s="32"/>
      <c r="J23" s="33"/>
      <c r="K23" s="35"/>
      <c r="L23" s="43">
        <v>1.5980000000000001</v>
      </c>
      <c r="M23" s="35"/>
      <c r="N23" s="35"/>
      <c r="O23" s="33"/>
    </row>
    <row r="24" spans="1:15" x14ac:dyDescent="0.2">
      <c r="A24" s="35"/>
      <c r="B24" s="45">
        <v>40</v>
      </c>
      <c r="C24" s="32">
        <v>925</v>
      </c>
      <c r="D24" s="33">
        <v>930</v>
      </c>
      <c r="E24" s="32"/>
      <c r="F24" s="33"/>
      <c r="G24" s="32"/>
      <c r="H24" s="33"/>
      <c r="I24" s="32"/>
      <c r="J24" s="33"/>
      <c r="K24" s="35"/>
      <c r="L24" s="43">
        <v>1.6120000000000001</v>
      </c>
      <c r="M24" s="35"/>
      <c r="N24" s="35"/>
      <c r="O24" s="33"/>
    </row>
    <row r="25" spans="1:15" x14ac:dyDescent="0.2">
      <c r="A25" s="36" t="s">
        <v>151</v>
      </c>
      <c r="B25" s="45">
        <v>40</v>
      </c>
      <c r="C25" s="32">
        <v>925</v>
      </c>
      <c r="D25" s="33">
        <v>930</v>
      </c>
      <c r="E25" s="32"/>
      <c r="F25" s="33"/>
      <c r="G25" s="32"/>
      <c r="H25" s="33"/>
      <c r="I25" s="32"/>
      <c r="J25" s="33"/>
      <c r="K25" s="35"/>
      <c r="L25" s="43">
        <v>1.58</v>
      </c>
      <c r="M25" s="35"/>
      <c r="N25" s="35"/>
      <c r="O25" s="33"/>
    </row>
    <row r="26" spans="1:15" x14ac:dyDescent="0.2">
      <c r="A26" s="36"/>
      <c r="B26" s="45"/>
      <c r="C26" s="32"/>
      <c r="D26" s="33"/>
      <c r="E26" s="32"/>
      <c r="F26" s="33"/>
      <c r="G26" s="32"/>
      <c r="H26" s="33"/>
      <c r="I26" s="32"/>
      <c r="J26" s="33"/>
      <c r="K26" s="35"/>
      <c r="L26" s="43"/>
      <c r="M26" s="35"/>
      <c r="N26" s="35"/>
      <c r="O26" s="33"/>
    </row>
    <row r="27" spans="1:15" x14ac:dyDescent="0.2">
      <c r="A27" s="36" t="s">
        <v>152</v>
      </c>
      <c r="B27" s="45">
        <v>30</v>
      </c>
      <c r="C27" s="32">
        <v>1151</v>
      </c>
      <c r="D27" s="33">
        <v>930</v>
      </c>
      <c r="E27" s="32"/>
      <c r="F27" s="33"/>
      <c r="G27" s="32"/>
      <c r="H27" s="33"/>
      <c r="I27" s="32"/>
      <c r="J27" s="33"/>
      <c r="K27" s="35"/>
      <c r="L27" s="43">
        <v>1.51</v>
      </c>
      <c r="M27" s="35"/>
      <c r="N27" s="35"/>
      <c r="O27" s="33"/>
    </row>
    <row r="28" spans="1:15" x14ac:dyDescent="0.2">
      <c r="A28" s="36" t="s">
        <v>154</v>
      </c>
      <c r="B28" s="45">
        <v>40</v>
      </c>
      <c r="C28" s="32">
        <v>1151</v>
      </c>
      <c r="D28" s="33">
        <v>930</v>
      </c>
      <c r="E28" s="32"/>
      <c r="F28" s="33"/>
      <c r="G28" s="32"/>
      <c r="H28" s="33"/>
      <c r="I28" s="32"/>
      <c r="J28" s="33"/>
      <c r="K28" s="35"/>
      <c r="L28" s="43">
        <v>1.506</v>
      </c>
      <c r="M28" s="35"/>
      <c r="N28" s="35"/>
      <c r="O28" s="33"/>
    </row>
    <row r="29" spans="1:15" x14ac:dyDescent="0.2">
      <c r="A29" s="36" t="s">
        <v>153</v>
      </c>
      <c r="B29" s="45">
        <v>40</v>
      </c>
      <c r="C29" s="32">
        <v>1151</v>
      </c>
      <c r="D29" s="33">
        <v>930</v>
      </c>
      <c r="E29" s="32"/>
      <c r="F29" s="33"/>
      <c r="G29" s="32"/>
      <c r="H29" s="33"/>
      <c r="I29" s="32"/>
      <c r="J29" s="33"/>
      <c r="K29" s="35"/>
      <c r="L29" s="43">
        <v>1.39</v>
      </c>
      <c r="M29" s="35"/>
      <c r="N29" s="35"/>
      <c r="O29" s="33"/>
    </row>
    <row r="30" spans="1:15" x14ac:dyDescent="0.2">
      <c r="A30" s="36"/>
      <c r="B30" s="45"/>
      <c r="C30" s="32"/>
      <c r="D30" s="33"/>
      <c r="E30" s="32"/>
      <c r="F30" s="33"/>
      <c r="G30" s="32"/>
      <c r="H30" s="33"/>
      <c r="I30" s="32"/>
      <c r="J30" s="33"/>
      <c r="K30" s="35"/>
      <c r="L30" s="43"/>
      <c r="M30" s="35"/>
      <c r="N30" s="35"/>
      <c r="O30" s="33"/>
    </row>
    <row r="31" spans="1:15" x14ac:dyDescent="0.2">
      <c r="A31" s="36" t="s">
        <v>155</v>
      </c>
      <c r="B31" s="45">
        <v>30</v>
      </c>
      <c r="C31" s="32">
        <v>1265</v>
      </c>
      <c r="D31" s="33">
        <v>1186</v>
      </c>
      <c r="E31" s="32"/>
      <c r="F31" s="33"/>
      <c r="G31" s="32"/>
      <c r="H31" s="33"/>
      <c r="I31" s="32"/>
      <c r="J31" s="33"/>
      <c r="K31" s="35"/>
      <c r="L31" s="43">
        <v>1.4219999999999999</v>
      </c>
      <c r="M31" s="35"/>
      <c r="N31" s="35"/>
      <c r="O31" s="33"/>
    </row>
    <row r="32" spans="1:15" x14ac:dyDescent="0.2">
      <c r="A32" s="36" t="s">
        <v>155</v>
      </c>
      <c r="B32" s="45">
        <v>40</v>
      </c>
      <c r="C32" s="32">
        <v>1265</v>
      </c>
      <c r="D32" s="33">
        <v>1186</v>
      </c>
      <c r="E32" s="32"/>
      <c r="F32" s="33"/>
      <c r="G32" s="32"/>
      <c r="H32" s="33"/>
      <c r="I32" s="32"/>
      <c r="J32" s="33"/>
      <c r="K32" s="35"/>
      <c r="L32" s="43">
        <v>1.4179999999999999</v>
      </c>
      <c r="M32" s="35"/>
      <c r="N32" s="35"/>
      <c r="O32" s="33"/>
    </row>
    <row r="33" spans="1:15" x14ac:dyDescent="0.2">
      <c r="A33" s="36" t="s">
        <v>156</v>
      </c>
      <c r="B33" s="45">
        <v>30</v>
      </c>
      <c r="C33" s="32">
        <v>1265</v>
      </c>
      <c r="D33" s="33">
        <v>1186</v>
      </c>
      <c r="E33" s="32"/>
      <c r="F33" s="33"/>
      <c r="G33" s="32"/>
      <c r="H33" s="33"/>
      <c r="I33" s="32"/>
      <c r="J33" s="33"/>
      <c r="K33" s="35"/>
      <c r="L33" s="43">
        <v>1.4219999999999999</v>
      </c>
      <c r="M33" s="35"/>
      <c r="N33" s="35"/>
      <c r="O33" s="33"/>
    </row>
    <row r="34" spans="1:15" x14ac:dyDescent="0.2">
      <c r="A34" s="36" t="s">
        <v>156</v>
      </c>
      <c r="B34" s="45">
        <v>40</v>
      </c>
      <c r="C34" s="32">
        <v>1265</v>
      </c>
      <c r="D34" s="33">
        <v>1186</v>
      </c>
      <c r="E34" s="32"/>
      <c r="F34" s="33"/>
      <c r="G34" s="32"/>
      <c r="H34" s="33"/>
      <c r="I34" s="32"/>
      <c r="J34" s="33"/>
      <c r="K34" s="35"/>
      <c r="L34" s="43">
        <v>1.4179999999999999</v>
      </c>
      <c r="M34" s="35"/>
      <c r="N34" s="35"/>
      <c r="O34" s="33"/>
    </row>
    <row r="35" spans="1:15" x14ac:dyDescent="0.2">
      <c r="A35" s="36"/>
      <c r="B35" s="45"/>
      <c r="C35" s="32"/>
      <c r="D35" s="33"/>
      <c r="E35" s="32"/>
      <c r="F35" s="33"/>
      <c r="G35" s="32"/>
      <c r="H35" s="33"/>
      <c r="I35" s="32"/>
      <c r="J35" s="33"/>
      <c r="K35" s="35"/>
      <c r="L35" s="43"/>
      <c r="M35" s="35"/>
      <c r="N35" s="35"/>
      <c r="O35" s="33"/>
    </row>
    <row r="36" spans="1:15" x14ac:dyDescent="0.2">
      <c r="A36" s="36" t="s">
        <v>157</v>
      </c>
      <c r="B36" s="45">
        <v>30</v>
      </c>
      <c r="C36" s="32">
        <v>1584</v>
      </c>
      <c r="D36" s="33">
        <v>1562</v>
      </c>
      <c r="E36" s="32"/>
      <c r="F36" s="33"/>
      <c r="G36" s="32"/>
      <c r="H36" s="33"/>
      <c r="I36" s="32"/>
      <c r="J36" s="33"/>
      <c r="K36" s="35"/>
      <c r="L36" s="43">
        <v>1.3779999999999999</v>
      </c>
      <c r="M36" s="35"/>
      <c r="N36" s="35"/>
      <c r="O36" s="33"/>
    </row>
    <row r="37" spans="1:15" x14ac:dyDescent="0.2">
      <c r="A37" s="35"/>
      <c r="B37" s="45">
        <v>40</v>
      </c>
      <c r="C37" s="32">
        <v>1584</v>
      </c>
      <c r="D37" s="33">
        <v>1562</v>
      </c>
      <c r="E37" s="32"/>
      <c r="F37" s="33"/>
      <c r="G37" s="32"/>
      <c r="H37" s="33"/>
      <c r="I37" s="32"/>
      <c r="J37" s="33"/>
      <c r="K37" s="35"/>
      <c r="L37" s="43">
        <v>1.3740000000000001</v>
      </c>
      <c r="M37" s="35"/>
      <c r="N37" s="35"/>
      <c r="O37" s="33"/>
    </row>
    <row r="38" spans="1:15" x14ac:dyDescent="0.2">
      <c r="A38" s="35"/>
      <c r="B38" s="45"/>
      <c r="C38" s="32"/>
      <c r="D38" s="33"/>
      <c r="E38" s="32"/>
      <c r="F38" s="33"/>
      <c r="G38" s="32"/>
      <c r="H38" s="33"/>
      <c r="I38" s="32"/>
      <c r="J38" s="33"/>
      <c r="K38" s="35"/>
      <c r="L38" s="43"/>
      <c r="M38" s="35"/>
      <c r="N38" s="35"/>
      <c r="O38" s="33"/>
    </row>
    <row r="39" spans="1:15" x14ac:dyDescent="0.2">
      <c r="A39" s="36" t="s">
        <v>158</v>
      </c>
      <c r="B39" s="45">
        <v>30</v>
      </c>
      <c r="C39" s="32">
        <v>1584</v>
      </c>
      <c r="D39" s="33">
        <v>1562</v>
      </c>
      <c r="E39" s="32"/>
      <c r="F39" s="33"/>
      <c r="G39" s="32"/>
      <c r="H39" s="33"/>
      <c r="I39" s="32"/>
      <c r="J39" s="33"/>
      <c r="K39" s="35"/>
      <c r="L39" s="43">
        <v>1.306</v>
      </c>
      <c r="M39" s="35"/>
      <c r="N39" s="35"/>
      <c r="O39" s="33"/>
    </row>
    <row r="40" spans="1:15" ht="13.5" thickBot="1" x14ac:dyDescent="0.25">
      <c r="A40" s="37" t="s">
        <v>158</v>
      </c>
      <c r="B40" s="46">
        <v>40</v>
      </c>
      <c r="C40" s="39">
        <v>1584</v>
      </c>
      <c r="D40" s="34">
        <v>1562</v>
      </c>
      <c r="E40" s="39"/>
      <c r="F40" s="34"/>
      <c r="G40" s="39"/>
      <c r="H40" s="34"/>
      <c r="I40" s="39"/>
      <c r="J40" s="34"/>
      <c r="K40" s="38"/>
      <c r="L40" s="44">
        <v>1.3029999999999999</v>
      </c>
      <c r="M40" s="38"/>
      <c r="N40" s="38"/>
      <c r="O40" s="34"/>
    </row>
  </sheetData>
  <sheetProtection password="D243" sheet="1" objects="1" scenarios="1"/>
  <mergeCells count="2">
    <mergeCell ref="A1:J2"/>
    <mergeCell ref="K1:O2"/>
  </mergeCells>
  <phoneticPr fontId="0" type="noConversion"/>
  <printOptions gridLines="1"/>
  <pageMargins left="0.35" right="0.55000000000000004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3"/>
  <sheetViews>
    <sheetView topLeftCell="A3" workbookViewId="0">
      <selection activeCell="O17" sqref="O17"/>
    </sheetView>
  </sheetViews>
  <sheetFormatPr defaultRowHeight="12.75" x14ac:dyDescent="0.2"/>
  <sheetData>
    <row r="1" spans="1:15" ht="13.5" thickBot="1" x14ac:dyDescent="0.25"/>
    <row r="2" spans="1:15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6"/>
      <c r="J2" s="267"/>
      <c r="K2" s="271" t="s">
        <v>1</v>
      </c>
      <c r="L2" s="272"/>
      <c r="M2" s="272"/>
      <c r="N2" s="272"/>
      <c r="O2" s="273"/>
    </row>
    <row r="3" spans="1:15" ht="13.5" thickBot="1" x14ac:dyDescent="0.25">
      <c r="A3" s="268"/>
      <c r="B3" s="269"/>
      <c r="C3" s="269"/>
      <c r="D3" s="269"/>
      <c r="E3" s="269"/>
      <c r="F3" s="269"/>
      <c r="G3" s="269"/>
      <c r="H3" s="269"/>
      <c r="I3" s="269"/>
      <c r="J3" s="270"/>
      <c r="K3" s="274"/>
      <c r="L3" s="275"/>
      <c r="M3" s="312"/>
      <c r="N3" s="312"/>
      <c r="O3" s="313"/>
    </row>
    <row r="4" spans="1:15" ht="16.5" thickBot="1" x14ac:dyDescent="0.3">
      <c r="A4" s="26" t="s">
        <v>2</v>
      </c>
      <c r="B4" s="27" t="s">
        <v>405</v>
      </c>
      <c r="C4" s="28" t="s">
        <v>3</v>
      </c>
      <c r="D4" s="29"/>
      <c r="E4" s="27" t="s">
        <v>4</v>
      </c>
      <c r="F4" s="29"/>
      <c r="G4" s="27" t="s">
        <v>5</v>
      </c>
      <c r="H4" s="29"/>
      <c r="I4" s="30" t="s">
        <v>6</v>
      </c>
      <c r="J4" s="29"/>
      <c r="K4" s="26" t="s">
        <v>406</v>
      </c>
      <c r="L4" s="314" t="s">
        <v>433</v>
      </c>
      <c r="M4" s="315"/>
      <c r="N4" s="315"/>
      <c r="O4" s="212"/>
    </row>
    <row r="5" spans="1:15" ht="13.5" thickBot="1" x14ac:dyDescent="0.25">
      <c r="A5" s="47"/>
      <c r="B5" s="48"/>
      <c r="C5" s="49" t="s">
        <v>11</v>
      </c>
      <c r="D5" s="29" t="s">
        <v>12</v>
      </c>
      <c r="E5" s="50" t="s">
        <v>11</v>
      </c>
      <c r="F5" s="29" t="s">
        <v>12</v>
      </c>
      <c r="G5" s="50" t="s">
        <v>11</v>
      </c>
      <c r="H5" s="29" t="s">
        <v>12</v>
      </c>
      <c r="I5" s="51" t="s">
        <v>11</v>
      </c>
      <c r="J5" s="29" t="s">
        <v>12</v>
      </c>
      <c r="K5" s="31"/>
      <c r="L5" s="211"/>
      <c r="M5" s="1"/>
      <c r="N5" s="1"/>
      <c r="O5" s="1"/>
    </row>
    <row r="6" spans="1:15" x14ac:dyDescent="0.2">
      <c r="A6" s="7" t="s">
        <v>402</v>
      </c>
      <c r="B6" s="21"/>
      <c r="C6" s="17" t="s">
        <v>431</v>
      </c>
      <c r="D6" s="5">
        <v>1562</v>
      </c>
      <c r="E6" s="4">
        <v>220.8</v>
      </c>
      <c r="F6" s="5">
        <v>150.5</v>
      </c>
      <c r="G6" s="4">
        <v>275</v>
      </c>
      <c r="H6" s="5">
        <v>203.2</v>
      </c>
      <c r="I6" s="17" t="s">
        <v>66</v>
      </c>
      <c r="J6" s="9" t="s">
        <v>66</v>
      </c>
      <c r="K6" s="6">
        <v>1.4931000000000001</v>
      </c>
      <c r="L6" s="1">
        <v>1.3531</v>
      </c>
      <c r="M6" s="1"/>
      <c r="N6" s="1"/>
      <c r="O6" s="1"/>
    </row>
    <row r="7" spans="1:15" x14ac:dyDescent="0.2">
      <c r="A7" s="7" t="s">
        <v>409</v>
      </c>
      <c r="B7" s="21"/>
      <c r="C7" s="17" t="s">
        <v>431</v>
      </c>
      <c r="D7" s="5">
        <v>1562</v>
      </c>
      <c r="E7" s="4">
        <v>220.8</v>
      </c>
      <c r="F7" s="5">
        <v>150.5</v>
      </c>
      <c r="G7" s="4">
        <v>275</v>
      </c>
      <c r="H7" s="5">
        <v>203.2</v>
      </c>
      <c r="I7" s="17" t="s">
        <v>66</v>
      </c>
      <c r="J7" s="9" t="s">
        <v>66</v>
      </c>
      <c r="K7" s="6">
        <v>1.4931000000000001</v>
      </c>
      <c r="L7" s="1">
        <v>1.3531</v>
      </c>
      <c r="M7" s="1"/>
      <c r="N7" s="1"/>
      <c r="O7" s="1"/>
    </row>
    <row r="8" spans="1:15" x14ac:dyDescent="0.2">
      <c r="A8" s="7" t="s">
        <v>410</v>
      </c>
      <c r="B8" s="7"/>
      <c r="C8" s="17" t="s">
        <v>431</v>
      </c>
      <c r="D8" s="5">
        <v>1562</v>
      </c>
      <c r="E8" s="4">
        <v>220.8</v>
      </c>
      <c r="F8" s="5">
        <v>150.5</v>
      </c>
      <c r="G8" s="4">
        <v>275</v>
      </c>
      <c r="H8" s="5">
        <v>203.2</v>
      </c>
      <c r="I8" s="17" t="s">
        <v>66</v>
      </c>
      <c r="J8" s="9" t="s">
        <v>66</v>
      </c>
      <c r="K8" s="6">
        <v>1.4931000000000001</v>
      </c>
      <c r="L8" s="1">
        <v>1.3531</v>
      </c>
      <c r="M8" s="1"/>
      <c r="N8" s="1"/>
      <c r="O8" s="1"/>
    </row>
    <row r="9" spans="1:15" x14ac:dyDescent="0.2">
      <c r="A9" s="7" t="s">
        <v>411</v>
      </c>
      <c r="B9" s="21" t="s">
        <v>305</v>
      </c>
      <c r="C9" s="17" t="s">
        <v>431</v>
      </c>
      <c r="D9" s="5">
        <v>1562</v>
      </c>
      <c r="E9" s="4" t="s">
        <v>432</v>
      </c>
      <c r="F9" s="5">
        <v>150.5</v>
      </c>
      <c r="G9" s="4">
        <v>275</v>
      </c>
      <c r="H9" s="5">
        <v>203.2</v>
      </c>
      <c r="I9" s="17" t="s">
        <v>66</v>
      </c>
      <c r="J9" s="9" t="s">
        <v>66</v>
      </c>
      <c r="K9" s="6"/>
      <c r="L9" s="1">
        <v>1.3531</v>
      </c>
      <c r="M9" s="1"/>
      <c r="N9" s="1"/>
      <c r="O9" s="1"/>
    </row>
    <row r="13" spans="1:15" x14ac:dyDescent="0.2">
      <c r="L13" t="s">
        <v>434</v>
      </c>
    </row>
  </sheetData>
  <mergeCells count="3">
    <mergeCell ref="A2:J3"/>
    <mergeCell ref="K2:O3"/>
    <mergeCell ref="L4:N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0"/>
  <sheetViews>
    <sheetView workbookViewId="0">
      <selection activeCell="G15" sqref="G15"/>
    </sheetView>
  </sheetViews>
  <sheetFormatPr defaultRowHeight="12.75" x14ac:dyDescent="0.2"/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405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406</v>
      </c>
      <c r="L3" s="26" t="s">
        <v>407</v>
      </c>
      <c r="M3" s="26"/>
      <c r="N3" s="27"/>
      <c r="O3" s="26"/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400</v>
      </c>
      <c r="B5" s="21"/>
      <c r="C5" s="17" t="s">
        <v>408</v>
      </c>
      <c r="D5" s="5">
        <v>1562</v>
      </c>
      <c r="E5" s="4">
        <v>250</v>
      </c>
      <c r="F5" s="5">
        <v>150.5</v>
      </c>
      <c r="G5" s="4">
        <v>285</v>
      </c>
      <c r="H5" s="5">
        <v>203.2</v>
      </c>
      <c r="I5" s="17" t="s">
        <v>68</v>
      </c>
      <c r="J5" s="8" t="s">
        <v>66</v>
      </c>
      <c r="K5" s="6">
        <v>1.379</v>
      </c>
      <c r="L5" s="5">
        <v>1.377</v>
      </c>
      <c r="M5" s="6"/>
      <c r="N5" s="6"/>
      <c r="O5" s="5"/>
    </row>
    <row r="6" spans="1:15" x14ac:dyDescent="0.2">
      <c r="A6" s="7" t="s">
        <v>401</v>
      </c>
      <c r="B6" s="21"/>
      <c r="C6" s="17" t="s">
        <v>408</v>
      </c>
      <c r="D6" s="5">
        <v>1562</v>
      </c>
      <c r="E6" s="4">
        <v>250</v>
      </c>
      <c r="F6" s="5">
        <v>150.5</v>
      </c>
      <c r="G6" s="4">
        <v>285</v>
      </c>
      <c r="H6" s="5">
        <v>203.2</v>
      </c>
      <c r="I6" s="17" t="s">
        <v>68</v>
      </c>
      <c r="J6" s="9" t="s">
        <v>66</v>
      </c>
      <c r="K6" s="6">
        <v>1.379</v>
      </c>
      <c r="L6" s="5">
        <v>1.377</v>
      </c>
      <c r="M6" s="6"/>
      <c r="N6" s="6"/>
      <c r="O6" s="5"/>
    </row>
    <row r="7" spans="1:15" x14ac:dyDescent="0.2">
      <c r="A7" s="7" t="s">
        <v>402</v>
      </c>
      <c r="B7" s="21"/>
      <c r="C7" s="17" t="s">
        <v>408</v>
      </c>
      <c r="D7" s="5">
        <v>1562</v>
      </c>
      <c r="E7" s="4">
        <v>250</v>
      </c>
      <c r="F7" s="5">
        <v>150.5</v>
      </c>
      <c r="G7" s="4">
        <v>285</v>
      </c>
      <c r="H7" s="5">
        <v>203.2</v>
      </c>
      <c r="I7" s="17" t="s">
        <v>68</v>
      </c>
      <c r="J7" s="9" t="s">
        <v>66</v>
      </c>
      <c r="K7" s="6">
        <v>1.379</v>
      </c>
      <c r="L7" s="5">
        <v>1.377</v>
      </c>
      <c r="M7" s="6"/>
      <c r="N7" s="6"/>
      <c r="O7" s="5"/>
    </row>
    <row r="8" spans="1:15" x14ac:dyDescent="0.2">
      <c r="A8" s="7" t="s">
        <v>403</v>
      </c>
      <c r="B8" s="21"/>
      <c r="C8" s="17" t="s">
        <v>408</v>
      </c>
      <c r="D8" s="5">
        <v>1562</v>
      </c>
      <c r="E8" s="4">
        <v>250</v>
      </c>
      <c r="F8" s="5">
        <v>150.5</v>
      </c>
      <c r="G8" s="4">
        <v>285</v>
      </c>
      <c r="H8" s="5">
        <v>203.2</v>
      </c>
      <c r="I8" s="17" t="s">
        <v>68</v>
      </c>
      <c r="J8" s="9" t="s">
        <v>66</v>
      </c>
      <c r="K8" s="6">
        <v>1.3620000000000001</v>
      </c>
      <c r="L8" s="5">
        <v>1.3759999999999999</v>
      </c>
      <c r="M8" s="6"/>
      <c r="N8" s="6"/>
      <c r="O8" s="5"/>
    </row>
    <row r="9" spans="1:15" x14ac:dyDescent="0.2">
      <c r="A9" s="7" t="s">
        <v>404</v>
      </c>
      <c r="B9" s="7"/>
      <c r="C9" s="17" t="s">
        <v>408</v>
      </c>
      <c r="D9" s="5">
        <v>1562</v>
      </c>
      <c r="E9" s="4">
        <v>250</v>
      </c>
      <c r="F9" s="5">
        <v>150.5</v>
      </c>
      <c r="G9" s="4">
        <v>285</v>
      </c>
      <c r="H9" s="5">
        <v>203.2</v>
      </c>
      <c r="I9" s="17" t="s">
        <v>68</v>
      </c>
      <c r="J9" s="9" t="s">
        <v>66</v>
      </c>
      <c r="K9" s="6">
        <v>1.3620000000000001</v>
      </c>
      <c r="L9" s="5">
        <v>1.3759999999999999</v>
      </c>
      <c r="M9" s="6"/>
      <c r="N9" s="6"/>
      <c r="O9" s="5"/>
    </row>
    <row r="10" spans="1:15" x14ac:dyDescent="0.2">
      <c r="A10" s="7" t="s">
        <v>403</v>
      </c>
      <c r="B10" s="21" t="s">
        <v>305</v>
      </c>
      <c r="C10" s="17" t="s">
        <v>408</v>
      </c>
      <c r="D10" s="5">
        <v>1562</v>
      </c>
      <c r="E10" s="4">
        <v>250</v>
      </c>
      <c r="F10" s="5">
        <v>150.5</v>
      </c>
      <c r="G10" s="4">
        <v>285</v>
      </c>
      <c r="H10" s="5">
        <v>203.2</v>
      </c>
      <c r="I10" s="17" t="s">
        <v>68</v>
      </c>
      <c r="J10" s="9" t="s">
        <v>66</v>
      </c>
      <c r="K10" s="6"/>
      <c r="L10" s="1">
        <v>1.349</v>
      </c>
      <c r="M10" s="1"/>
      <c r="N10" s="1"/>
      <c r="O10" s="1"/>
    </row>
    <row r="11" spans="1:15" x14ac:dyDescent="0.2">
      <c r="A11" s="7" t="s">
        <v>404</v>
      </c>
      <c r="B11" s="21" t="s">
        <v>305</v>
      </c>
      <c r="C11" s="17" t="s">
        <v>408</v>
      </c>
      <c r="D11" s="5">
        <v>1562</v>
      </c>
      <c r="E11" s="4">
        <v>250</v>
      </c>
      <c r="F11" s="5">
        <v>150.5</v>
      </c>
      <c r="G11" s="4">
        <v>285</v>
      </c>
      <c r="H11" s="5">
        <v>203.2</v>
      </c>
      <c r="I11" s="17" t="s">
        <v>68</v>
      </c>
      <c r="J11" s="9" t="s">
        <v>66</v>
      </c>
      <c r="K11" s="1"/>
      <c r="L11" s="1">
        <v>1.349</v>
      </c>
      <c r="M11" s="1"/>
      <c r="N11" s="1"/>
      <c r="O11" s="1"/>
    </row>
    <row r="12" spans="1:15" x14ac:dyDescent="0.2">
      <c r="A12" s="21"/>
      <c r="B12" s="21"/>
      <c r="C12" s="16"/>
      <c r="D12" s="1"/>
      <c r="E12" s="1"/>
      <c r="F12" s="1"/>
      <c r="G12" s="1"/>
      <c r="H12" s="1"/>
      <c r="I12" s="11"/>
      <c r="J12" s="11"/>
      <c r="K12" s="1"/>
      <c r="L12" s="1"/>
      <c r="M12" s="1"/>
      <c r="N12" s="1"/>
      <c r="O12" s="1"/>
    </row>
    <row r="13" spans="1:15" x14ac:dyDescent="0.2">
      <c r="A13" s="21"/>
      <c r="B13" s="21"/>
      <c r="C13" s="16"/>
      <c r="D13" s="1"/>
      <c r="E13" s="1"/>
      <c r="F13" s="1"/>
      <c r="G13" s="1"/>
      <c r="H13" s="1"/>
      <c r="I13" s="11"/>
      <c r="J13" s="11"/>
      <c r="K13" s="1"/>
      <c r="L13" s="1"/>
      <c r="M13" s="1"/>
      <c r="N13" s="1"/>
      <c r="O13" s="1"/>
    </row>
    <row r="14" spans="1:15" x14ac:dyDescent="0.2">
      <c r="A14" s="21"/>
      <c r="B14" s="21"/>
      <c r="C14" s="16"/>
      <c r="D14" s="1"/>
      <c r="E14" s="1"/>
      <c r="F14" s="1"/>
      <c r="G14" s="1"/>
      <c r="H14" s="1"/>
      <c r="I14" s="11"/>
      <c r="J14" s="11"/>
      <c r="K14" s="1"/>
      <c r="L14" s="1"/>
      <c r="M14" s="1"/>
      <c r="N14" s="1"/>
      <c r="O14" s="1"/>
    </row>
    <row r="15" spans="1:15" x14ac:dyDescent="0.2">
      <c r="A15" s="21"/>
      <c r="B15" s="21"/>
      <c r="C15" s="16"/>
      <c r="D15" s="1"/>
      <c r="E15" s="1"/>
      <c r="F15" s="1"/>
      <c r="G15" s="1"/>
      <c r="H15" s="1"/>
      <c r="I15" s="11"/>
      <c r="J15" s="11"/>
      <c r="K15" s="1"/>
      <c r="L15" s="1"/>
      <c r="M15" s="1"/>
      <c r="N15" s="1"/>
      <c r="O15" s="1"/>
    </row>
    <row r="16" spans="1:15" x14ac:dyDescent="0.2">
      <c r="A16" s="21"/>
      <c r="B16" s="21"/>
      <c r="C16" s="16"/>
      <c r="D16" s="1"/>
      <c r="E16" s="1"/>
      <c r="F16" s="1"/>
      <c r="G16" s="1"/>
      <c r="H16" s="1"/>
      <c r="I16" s="11"/>
      <c r="J16" s="11"/>
      <c r="K16" s="1"/>
      <c r="L16" s="1"/>
      <c r="M16" s="1"/>
      <c r="N16" s="1"/>
      <c r="O16" s="1"/>
    </row>
    <row r="17" spans="1:15" x14ac:dyDescent="0.2">
      <c r="A17" s="21"/>
      <c r="B17" s="21"/>
      <c r="C17" s="16"/>
      <c r="D17" s="1"/>
      <c r="E17" s="1"/>
      <c r="F17" s="1"/>
      <c r="G17" s="1"/>
      <c r="H17" s="1"/>
      <c r="I17" s="11"/>
      <c r="J17" s="11"/>
      <c r="K17" s="1"/>
      <c r="L17" s="1"/>
      <c r="M17" s="1"/>
      <c r="N17" s="1"/>
      <c r="O17" s="1"/>
    </row>
    <row r="18" spans="1:15" x14ac:dyDescent="0.2">
      <c r="A18" s="21"/>
      <c r="B18" s="21"/>
      <c r="C18" s="16"/>
      <c r="D18" s="1"/>
      <c r="E18" s="1"/>
      <c r="F18" s="1"/>
      <c r="G18" s="1"/>
      <c r="H18" s="1"/>
      <c r="I18" s="11"/>
      <c r="J18" s="11"/>
      <c r="K18" s="1"/>
      <c r="L18" s="12"/>
      <c r="M18" s="1"/>
      <c r="N18" s="1"/>
      <c r="O18" s="1"/>
    </row>
    <row r="19" spans="1:15" x14ac:dyDescent="0.2">
      <c r="A19" s="21"/>
      <c r="B19" s="21"/>
      <c r="C19" s="16"/>
      <c r="D19" s="1"/>
      <c r="E19" s="1"/>
      <c r="F19" s="1"/>
      <c r="G19" s="1"/>
      <c r="H19" s="1"/>
      <c r="I19" s="11"/>
      <c r="J19" s="11"/>
      <c r="K19" s="1"/>
      <c r="L19" s="1"/>
      <c r="M19" s="1"/>
      <c r="N19" s="1"/>
      <c r="O19" s="1"/>
    </row>
    <row r="20" spans="1:15" x14ac:dyDescent="0.2">
      <c r="A20" s="21"/>
      <c r="B20" s="21"/>
      <c r="C20" s="16"/>
      <c r="D20" s="1"/>
      <c r="E20" s="1"/>
      <c r="F20" s="1"/>
      <c r="G20" s="1"/>
      <c r="H20" s="1"/>
      <c r="I20" s="11"/>
      <c r="J20" s="11"/>
      <c r="K20" s="1"/>
      <c r="L20" s="1"/>
      <c r="M20" s="1"/>
      <c r="N20" s="1"/>
      <c r="O20" s="1"/>
    </row>
    <row r="21" spans="1:15" ht="15" x14ac:dyDescent="0.2">
      <c r="A21" s="209"/>
      <c r="B21" s="209"/>
      <c r="C21" s="16"/>
      <c r="D21" s="1"/>
      <c r="E21" s="1"/>
      <c r="F21" s="1"/>
      <c r="G21" s="1"/>
      <c r="H21" s="1"/>
      <c r="I21" s="14"/>
      <c r="J21" s="11"/>
      <c r="K21" s="1"/>
      <c r="L21" s="1"/>
      <c r="M21" s="1"/>
      <c r="N21" s="1"/>
      <c r="O21" s="1"/>
    </row>
    <row r="22" spans="1:15" x14ac:dyDescent="0.2">
      <c r="B22" s="2"/>
      <c r="L22" s="2"/>
    </row>
    <row r="23" spans="1:15" x14ac:dyDescent="0.2">
      <c r="A23" s="21"/>
      <c r="B23" s="2"/>
      <c r="L23" s="2"/>
    </row>
    <row r="24" spans="1:15" x14ac:dyDescent="0.2">
      <c r="B24" s="2"/>
      <c r="L24" s="2"/>
    </row>
    <row r="25" spans="1:15" x14ac:dyDescent="0.2">
      <c r="A25" s="94"/>
      <c r="B25" s="2"/>
      <c r="L25" s="2"/>
    </row>
    <row r="26" spans="1:15" x14ac:dyDescent="0.2">
      <c r="A26" s="94"/>
      <c r="B26" s="2"/>
      <c r="L26" s="2"/>
    </row>
    <row r="27" spans="1:15" x14ac:dyDescent="0.2">
      <c r="A27" s="94"/>
      <c r="B27" s="2"/>
      <c r="L27" s="2"/>
    </row>
    <row r="28" spans="1:15" x14ac:dyDescent="0.2">
      <c r="A28" s="94"/>
      <c r="B28" s="2"/>
      <c r="L28" s="2"/>
    </row>
    <row r="29" spans="1:15" x14ac:dyDescent="0.2">
      <c r="A29" s="94"/>
      <c r="B29" s="2"/>
      <c r="L29" s="2"/>
    </row>
    <row r="30" spans="1:15" x14ac:dyDescent="0.2">
      <c r="A30" s="94"/>
      <c r="B30" s="2"/>
      <c r="L30" s="2"/>
    </row>
    <row r="31" spans="1:15" x14ac:dyDescent="0.2">
      <c r="A31" s="94"/>
      <c r="B31" s="2"/>
      <c r="L31" s="2"/>
    </row>
    <row r="32" spans="1:15" x14ac:dyDescent="0.2">
      <c r="A32" s="94"/>
      <c r="B32" s="2"/>
      <c r="L32" s="2"/>
    </row>
    <row r="33" spans="1:12" x14ac:dyDescent="0.2">
      <c r="A33" s="94"/>
      <c r="B33" s="2"/>
      <c r="L33" s="2"/>
    </row>
    <row r="34" spans="1:12" x14ac:dyDescent="0.2">
      <c r="A34" s="94"/>
      <c r="B34" s="2"/>
      <c r="L34" s="2"/>
    </row>
    <row r="35" spans="1:12" x14ac:dyDescent="0.2">
      <c r="A35" s="94"/>
      <c r="B35" s="2"/>
      <c r="L35" s="2"/>
    </row>
    <row r="36" spans="1:12" x14ac:dyDescent="0.2">
      <c r="A36" s="94"/>
      <c r="B36" s="2"/>
      <c r="L36" s="2"/>
    </row>
    <row r="37" spans="1:12" x14ac:dyDescent="0.2">
      <c r="B37" s="2"/>
      <c r="L37" s="2"/>
    </row>
    <row r="38" spans="1:12" x14ac:dyDescent="0.2">
      <c r="B38" s="2"/>
      <c r="L38" s="2"/>
    </row>
    <row r="39" spans="1:12" x14ac:dyDescent="0.2">
      <c r="A39" s="94"/>
      <c r="B39" s="2"/>
      <c r="L39" s="2"/>
    </row>
    <row r="40" spans="1:12" x14ac:dyDescent="0.2">
      <c r="A40" s="94"/>
      <c r="B40" s="2"/>
      <c r="L40" s="2"/>
    </row>
  </sheetData>
  <mergeCells count="2">
    <mergeCell ref="A1:J2"/>
    <mergeCell ref="K1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0"/>
  <dimension ref="A1:O38"/>
  <sheetViews>
    <sheetView workbookViewId="0">
      <selection activeCell="D17" sqref="D17"/>
    </sheetView>
  </sheetViews>
  <sheetFormatPr defaultRowHeight="12.75" x14ac:dyDescent="0.2"/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405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406</v>
      </c>
      <c r="L3" s="26" t="s">
        <v>407</v>
      </c>
      <c r="M3" s="26"/>
      <c r="N3" s="27"/>
      <c r="O3" s="26"/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475</v>
      </c>
      <c r="B5" s="21"/>
      <c r="C5" s="17" t="s">
        <v>250</v>
      </c>
      <c r="D5" s="5">
        <v>1266</v>
      </c>
      <c r="E5" s="4">
        <v>250</v>
      </c>
      <c r="F5" s="5">
        <v>150.1</v>
      </c>
      <c r="G5" s="4">
        <v>285</v>
      </c>
      <c r="H5" s="5">
        <v>203.2</v>
      </c>
      <c r="I5" s="17" t="s">
        <v>68</v>
      </c>
      <c r="J5" s="8" t="s">
        <v>66</v>
      </c>
      <c r="K5" s="6"/>
      <c r="L5" s="5">
        <v>1.44</v>
      </c>
      <c r="M5" s="6"/>
      <c r="N5" s="6"/>
      <c r="O5" s="5"/>
    </row>
    <row r="6" spans="1:15" x14ac:dyDescent="0.2">
      <c r="A6" s="7" t="s">
        <v>476</v>
      </c>
      <c r="B6" s="21"/>
      <c r="C6" s="17" t="s">
        <v>250</v>
      </c>
      <c r="D6" s="5">
        <v>1266</v>
      </c>
      <c r="E6" s="4">
        <v>250</v>
      </c>
      <c r="F6" s="5">
        <v>150.1</v>
      </c>
      <c r="G6" s="4">
        <v>285</v>
      </c>
      <c r="H6" s="5">
        <v>203.2</v>
      </c>
      <c r="I6" s="17" t="s">
        <v>68</v>
      </c>
      <c r="J6" s="9" t="s">
        <v>66</v>
      </c>
      <c r="K6" s="6"/>
      <c r="L6" s="5">
        <v>1.44</v>
      </c>
      <c r="M6" s="6"/>
      <c r="N6" s="6"/>
      <c r="O6" s="5"/>
    </row>
    <row r="7" spans="1:15" x14ac:dyDescent="0.2">
      <c r="A7" s="7" t="s">
        <v>477</v>
      </c>
      <c r="B7" s="21"/>
      <c r="C7" s="17" t="s">
        <v>250</v>
      </c>
      <c r="D7" s="5">
        <v>1266</v>
      </c>
      <c r="E7" s="4">
        <v>250</v>
      </c>
      <c r="F7" s="5">
        <v>150.1</v>
      </c>
      <c r="G7" s="4">
        <v>285</v>
      </c>
      <c r="H7" s="5">
        <v>203.2</v>
      </c>
      <c r="I7" s="17" t="s">
        <v>68</v>
      </c>
      <c r="J7" s="9" t="s">
        <v>66</v>
      </c>
      <c r="K7" s="6"/>
      <c r="L7" s="5">
        <v>1.44</v>
      </c>
      <c r="M7" s="6"/>
      <c r="N7" s="6"/>
      <c r="O7" s="5"/>
    </row>
    <row r="8" spans="1:15" x14ac:dyDescent="0.2">
      <c r="A8" s="21"/>
      <c r="B8" s="21"/>
      <c r="C8" s="16"/>
      <c r="D8" s="1"/>
      <c r="E8" s="1"/>
      <c r="F8" s="1"/>
      <c r="G8" s="1"/>
      <c r="H8" s="1"/>
      <c r="I8" s="11"/>
      <c r="J8" s="11"/>
      <c r="K8" s="1"/>
      <c r="L8" s="1"/>
      <c r="M8" s="1"/>
      <c r="N8" s="1"/>
      <c r="O8" s="1"/>
    </row>
    <row r="9" spans="1:15" x14ac:dyDescent="0.2">
      <c r="A9" s="21"/>
      <c r="B9" s="21"/>
      <c r="C9" s="16"/>
      <c r="D9" s="1"/>
      <c r="E9" s="1"/>
      <c r="F9" s="1"/>
      <c r="G9" s="1"/>
      <c r="H9" s="1"/>
      <c r="I9" s="11"/>
      <c r="J9" s="11"/>
      <c r="K9" s="1"/>
      <c r="L9" s="1"/>
      <c r="M9" s="1"/>
      <c r="N9" s="1"/>
      <c r="O9" s="1"/>
    </row>
    <row r="10" spans="1:15" x14ac:dyDescent="0.2">
      <c r="A10" s="21"/>
      <c r="B10" s="21"/>
      <c r="C10" s="16"/>
      <c r="D10" s="1"/>
      <c r="E10" s="1"/>
      <c r="F10" s="1"/>
      <c r="G10" s="1"/>
      <c r="H10" s="1"/>
      <c r="I10" s="11"/>
      <c r="J10" s="11"/>
      <c r="K10" s="1"/>
      <c r="L10" s="1"/>
      <c r="M10" s="1"/>
      <c r="N10" s="1"/>
      <c r="O10" s="1"/>
    </row>
    <row r="11" spans="1:15" x14ac:dyDescent="0.2">
      <c r="A11" s="21"/>
      <c r="B11" s="21"/>
      <c r="C11" s="16"/>
      <c r="D11" s="1"/>
      <c r="E11" s="1"/>
      <c r="F11" s="1"/>
      <c r="G11" s="1"/>
      <c r="H11" s="1"/>
      <c r="I11" s="11"/>
      <c r="J11" s="11"/>
      <c r="K11" s="1"/>
      <c r="L11" s="1"/>
      <c r="M11" s="1"/>
      <c r="N11" s="1"/>
      <c r="O11" s="1"/>
    </row>
    <row r="12" spans="1:15" x14ac:dyDescent="0.2">
      <c r="A12" s="21"/>
      <c r="B12" s="21"/>
      <c r="C12" s="16"/>
      <c r="D12" s="1"/>
      <c r="E12" s="1"/>
      <c r="F12" s="1"/>
      <c r="G12" s="1"/>
      <c r="H12" s="1"/>
      <c r="I12" s="11"/>
      <c r="J12" s="11"/>
      <c r="K12" s="1"/>
      <c r="L12" s="1"/>
      <c r="M12" s="1"/>
      <c r="N12" s="1"/>
      <c r="O12" s="1"/>
    </row>
    <row r="13" spans="1:15" ht="12.75" customHeight="1" x14ac:dyDescent="0.2">
      <c r="A13" s="21"/>
      <c r="B13" s="21"/>
      <c r="C13" s="16"/>
      <c r="D13" s="11"/>
      <c r="E13" s="1"/>
      <c r="F13" s="1"/>
      <c r="G13" s="1"/>
      <c r="H13" s="1"/>
      <c r="I13" s="1"/>
    </row>
    <row r="14" spans="1:15" ht="12.75" customHeight="1" x14ac:dyDescent="0.2">
      <c r="A14" s="21"/>
      <c r="B14" s="21"/>
      <c r="C14" s="16"/>
      <c r="D14" s="11"/>
      <c r="E14" s="1"/>
      <c r="F14" s="12"/>
      <c r="G14" s="1"/>
      <c r="H14" s="1"/>
      <c r="I14" s="1"/>
    </row>
    <row r="15" spans="1:15" ht="12.75" customHeight="1" x14ac:dyDescent="0.2">
      <c r="A15" s="21"/>
      <c r="B15" s="21"/>
      <c r="C15" s="16"/>
      <c r="D15" s="11"/>
      <c r="E15" s="1"/>
      <c r="F15" s="1"/>
      <c r="G15" s="1"/>
      <c r="H15" s="1"/>
      <c r="I15" s="1"/>
    </row>
    <row r="16" spans="1:15" ht="13.5" customHeight="1" x14ac:dyDescent="0.2">
      <c r="A16" s="21"/>
      <c r="B16" s="21"/>
      <c r="C16" s="16"/>
      <c r="D16" s="11"/>
      <c r="E16" s="1"/>
      <c r="F16" s="1"/>
      <c r="G16" s="1"/>
      <c r="H16" s="1"/>
      <c r="I16" s="1"/>
    </row>
    <row r="17" spans="1:9" x14ac:dyDescent="0.2">
      <c r="A17" s="209"/>
      <c r="B17" s="209"/>
      <c r="C17" s="16"/>
      <c r="D17" s="11"/>
      <c r="E17" s="1"/>
      <c r="F17" s="1"/>
      <c r="G17" s="1"/>
      <c r="H17" s="1"/>
      <c r="I17" s="1"/>
    </row>
    <row r="18" spans="1:9" x14ac:dyDescent="0.2">
      <c r="B18" s="2"/>
      <c r="F18" s="2"/>
    </row>
    <row r="19" spans="1:9" x14ac:dyDescent="0.2">
      <c r="A19" s="21"/>
      <c r="B19" s="2"/>
      <c r="F19" s="2"/>
    </row>
    <row r="20" spans="1:9" x14ac:dyDescent="0.2">
      <c r="B20" s="2"/>
      <c r="F20" s="2"/>
    </row>
    <row r="21" spans="1:9" x14ac:dyDescent="0.2">
      <c r="A21" s="94"/>
      <c r="B21" s="2"/>
      <c r="F21" s="2"/>
    </row>
    <row r="22" spans="1:9" x14ac:dyDescent="0.2">
      <c r="A22" s="94"/>
      <c r="B22" s="2"/>
      <c r="F22" s="2"/>
    </row>
    <row r="23" spans="1:9" x14ac:dyDescent="0.2">
      <c r="A23" s="94"/>
      <c r="B23" s="2"/>
      <c r="F23" s="2"/>
    </row>
    <row r="24" spans="1:9" x14ac:dyDescent="0.2">
      <c r="A24" s="94"/>
      <c r="B24" s="2"/>
      <c r="F24" s="2"/>
    </row>
    <row r="25" spans="1:9" x14ac:dyDescent="0.2">
      <c r="A25" s="94"/>
      <c r="B25" s="2"/>
      <c r="F25" s="2"/>
    </row>
    <row r="26" spans="1:9" x14ac:dyDescent="0.2">
      <c r="A26" s="94"/>
      <c r="B26" s="2"/>
      <c r="F26" s="2"/>
    </row>
    <row r="27" spans="1:9" x14ac:dyDescent="0.2">
      <c r="A27" s="94"/>
      <c r="B27" s="2"/>
      <c r="F27" s="2"/>
    </row>
    <row r="28" spans="1:9" ht="12.75" customHeight="1" x14ac:dyDescent="0.2">
      <c r="A28" s="94"/>
      <c r="B28" s="2"/>
      <c r="F28" s="2"/>
    </row>
    <row r="29" spans="1:9" ht="12.75" customHeight="1" x14ac:dyDescent="0.2">
      <c r="A29" s="94"/>
      <c r="B29" s="2"/>
      <c r="F29" s="2"/>
    </row>
    <row r="30" spans="1:9" ht="12.75" customHeight="1" x14ac:dyDescent="0.2">
      <c r="A30" s="94"/>
      <c r="B30" s="2"/>
      <c r="F30" s="2"/>
    </row>
    <row r="31" spans="1:9" ht="12.75" customHeight="1" x14ac:dyDescent="0.2">
      <c r="A31" s="94"/>
      <c r="B31" s="2"/>
      <c r="F31" s="2"/>
    </row>
    <row r="32" spans="1:9" ht="12.75" customHeight="1" x14ac:dyDescent="0.2">
      <c r="A32" s="94"/>
      <c r="B32" s="2"/>
      <c r="F32" s="2"/>
    </row>
    <row r="33" spans="1:6" x14ac:dyDescent="0.2">
      <c r="B33" s="2"/>
      <c r="F33" s="2"/>
    </row>
    <row r="34" spans="1:6" ht="13.5" customHeight="1" x14ac:dyDescent="0.2">
      <c r="B34" s="2"/>
      <c r="F34" s="2"/>
    </row>
    <row r="35" spans="1:6" ht="12.75" customHeight="1" x14ac:dyDescent="0.2">
      <c r="A35" s="94"/>
      <c r="B35" s="2"/>
      <c r="F35" s="2"/>
    </row>
    <row r="36" spans="1:6" ht="12.75" customHeight="1" x14ac:dyDescent="0.2">
      <c r="A36" s="94"/>
      <c r="B36" s="2"/>
      <c r="F36" s="2"/>
    </row>
    <row r="37" spans="1:6" ht="12.75" customHeight="1" x14ac:dyDescent="0.2"/>
    <row r="38" spans="1:6" ht="13.5" customHeight="1" x14ac:dyDescent="0.2"/>
  </sheetData>
  <mergeCells count="2">
    <mergeCell ref="A1:J2"/>
    <mergeCell ref="K1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R22"/>
  <sheetViews>
    <sheetView workbookViewId="0">
      <selection activeCell="A2" sqref="A2:O10"/>
    </sheetView>
  </sheetViews>
  <sheetFormatPr defaultRowHeight="12.75" x14ac:dyDescent="0.2"/>
  <cols>
    <col min="9" max="9" width="13.85546875" customWidth="1"/>
    <col min="10" max="10" width="16.28515625" customWidth="1"/>
  </cols>
  <sheetData>
    <row r="1" spans="1:18" ht="13.5" thickBot="1" x14ac:dyDescent="0.25"/>
    <row r="2" spans="1:18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6"/>
      <c r="J2" s="267"/>
      <c r="K2" s="271" t="s">
        <v>1</v>
      </c>
      <c r="L2" s="272"/>
      <c r="M2" s="272"/>
      <c r="N2" s="272"/>
      <c r="O2" s="273"/>
    </row>
    <row r="3" spans="1:18" ht="13.5" thickBot="1" x14ac:dyDescent="0.25">
      <c r="A3" s="268"/>
      <c r="B3" s="269"/>
      <c r="C3" s="269"/>
      <c r="D3" s="269"/>
      <c r="E3" s="269"/>
      <c r="F3" s="269"/>
      <c r="G3" s="269"/>
      <c r="H3" s="269"/>
      <c r="I3" s="269"/>
      <c r="J3" s="270"/>
      <c r="K3" s="274"/>
      <c r="L3" s="275"/>
      <c r="M3" s="275"/>
      <c r="N3" s="275"/>
      <c r="O3" s="276"/>
    </row>
    <row r="4" spans="1:18" ht="16.5" thickBot="1" x14ac:dyDescent="0.3">
      <c r="A4" s="26" t="s">
        <v>2</v>
      </c>
      <c r="B4" s="27" t="s">
        <v>405</v>
      </c>
      <c r="C4" s="28" t="s">
        <v>3</v>
      </c>
      <c r="D4" s="29"/>
      <c r="E4" s="27" t="s">
        <v>4</v>
      </c>
      <c r="F4" s="29"/>
      <c r="G4" s="27" t="s">
        <v>5</v>
      </c>
      <c r="H4" s="29"/>
      <c r="I4" s="30" t="s">
        <v>6</v>
      </c>
      <c r="J4" s="29"/>
      <c r="K4" s="26" t="s">
        <v>406</v>
      </c>
      <c r="L4" s="26" t="s">
        <v>407</v>
      </c>
      <c r="M4" s="26"/>
      <c r="N4" s="27"/>
      <c r="O4" s="26"/>
    </row>
    <row r="5" spans="1:18" ht="13.5" thickBot="1" x14ac:dyDescent="0.25">
      <c r="A5" s="47"/>
      <c r="B5" s="48"/>
      <c r="C5" s="49" t="s">
        <v>11</v>
      </c>
      <c r="D5" s="29" t="s">
        <v>12</v>
      </c>
      <c r="E5" s="50" t="s">
        <v>11</v>
      </c>
      <c r="F5" s="29" t="s">
        <v>12</v>
      </c>
      <c r="G5" s="50" t="s">
        <v>11</v>
      </c>
      <c r="H5" s="29" t="s">
        <v>12</v>
      </c>
      <c r="I5" s="51" t="s">
        <v>11</v>
      </c>
      <c r="J5" s="29" t="s">
        <v>12</v>
      </c>
      <c r="K5" s="31"/>
      <c r="L5" s="3"/>
      <c r="M5" s="31"/>
      <c r="N5" s="31"/>
      <c r="O5" s="3"/>
    </row>
    <row r="6" spans="1:18" x14ac:dyDescent="0.2">
      <c r="A6" s="7" t="s">
        <v>402</v>
      </c>
      <c r="B6" s="21"/>
      <c r="C6" s="17" t="s">
        <v>408</v>
      </c>
      <c r="D6" s="5">
        <v>1570</v>
      </c>
      <c r="E6" s="4">
        <v>250</v>
      </c>
      <c r="F6" s="5" t="s">
        <v>480</v>
      </c>
      <c r="G6" s="4">
        <v>285</v>
      </c>
      <c r="H6" s="5" t="s">
        <v>481</v>
      </c>
      <c r="I6" s="17" t="s">
        <v>430</v>
      </c>
      <c r="J6" s="8" t="s">
        <v>429</v>
      </c>
      <c r="K6" s="6">
        <v>1.365</v>
      </c>
      <c r="L6" s="5">
        <v>1.365</v>
      </c>
      <c r="M6" s="6"/>
      <c r="N6" s="6"/>
      <c r="O6" s="5"/>
    </row>
    <row r="7" spans="1:18" x14ac:dyDescent="0.2">
      <c r="A7" s="7" t="s">
        <v>409</v>
      </c>
      <c r="B7" s="21"/>
      <c r="C7" s="17" t="s">
        <v>408</v>
      </c>
      <c r="D7" s="5">
        <v>1570</v>
      </c>
      <c r="E7" s="4">
        <v>250</v>
      </c>
      <c r="F7" s="5" t="s">
        <v>480</v>
      </c>
      <c r="G7" s="4">
        <v>285</v>
      </c>
      <c r="H7" s="5" t="s">
        <v>481</v>
      </c>
      <c r="I7" s="17" t="s">
        <v>68</v>
      </c>
      <c r="J7" s="9" t="s">
        <v>66</v>
      </c>
      <c r="K7" s="6">
        <v>1.365</v>
      </c>
      <c r="L7" s="5">
        <v>1.365</v>
      </c>
      <c r="M7" s="6"/>
      <c r="N7" s="6"/>
      <c r="O7" s="5"/>
    </row>
    <row r="8" spans="1:18" x14ac:dyDescent="0.2">
      <c r="A8" s="7" t="s">
        <v>410</v>
      </c>
      <c r="B8" s="21"/>
      <c r="C8" s="17" t="s">
        <v>408</v>
      </c>
      <c r="D8" s="5">
        <v>1570</v>
      </c>
      <c r="E8" s="4">
        <v>250</v>
      </c>
      <c r="F8" s="5" t="s">
        <v>480</v>
      </c>
      <c r="G8" s="4">
        <v>285</v>
      </c>
      <c r="H8" s="5" t="s">
        <v>481</v>
      </c>
      <c r="I8" s="17" t="s">
        <v>68</v>
      </c>
      <c r="J8" s="9" t="s">
        <v>66</v>
      </c>
      <c r="K8" s="6">
        <v>1.365</v>
      </c>
      <c r="L8" s="5">
        <v>1.365</v>
      </c>
      <c r="M8" s="6"/>
      <c r="N8" s="6"/>
      <c r="O8" s="5"/>
    </row>
    <row r="9" spans="1:18" x14ac:dyDescent="0.2">
      <c r="A9" s="7" t="s">
        <v>411</v>
      </c>
      <c r="B9" s="21"/>
      <c r="C9" s="17" t="s">
        <v>408</v>
      </c>
      <c r="D9" s="5">
        <v>1570</v>
      </c>
      <c r="E9" s="4">
        <v>250</v>
      </c>
      <c r="F9" s="5" t="s">
        <v>480</v>
      </c>
      <c r="G9" s="4">
        <v>285</v>
      </c>
      <c r="H9" s="5" t="s">
        <v>481</v>
      </c>
      <c r="I9" s="17" t="s">
        <v>68</v>
      </c>
      <c r="J9" s="9" t="s">
        <v>66</v>
      </c>
      <c r="K9" s="6">
        <v>1.365</v>
      </c>
      <c r="L9" s="5">
        <v>1.365</v>
      </c>
      <c r="M9" s="6"/>
      <c r="N9" s="6"/>
      <c r="O9" s="5"/>
    </row>
    <row r="10" spans="1:18" x14ac:dyDescent="0.2">
      <c r="A10" s="7" t="s">
        <v>412</v>
      </c>
      <c r="B10" s="7"/>
      <c r="C10" s="17" t="s">
        <v>408</v>
      </c>
      <c r="D10" s="5">
        <v>1570</v>
      </c>
      <c r="E10" s="4">
        <v>250</v>
      </c>
      <c r="F10" s="5" t="s">
        <v>480</v>
      </c>
      <c r="G10" s="4">
        <v>285</v>
      </c>
      <c r="H10" s="5" t="s">
        <v>481</v>
      </c>
      <c r="I10" s="17" t="s">
        <v>68</v>
      </c>
      <c r="J10" s="8" t="s">
        <v>66</v>
      </c>
      <c r="K10" s="6">
        <v>1.365</v>
      </c>
      <c r="L10" s="5">
        <v>1.365</v>
      </c>
      <c r="M10" s="6"/>
      <c r="N10" s="6"/>
      <c r="O10" s="5"/>
    </row>
    <row r="12" spans="1:18" x14ac:dyDescent="0.2">
      <c r="F12" s="1" t="s">
        <v>482</v>
      </c>
    </row>
    <row r="13" spans="1:18" x14ac:dyDescent="0.2">
      <c r="F13" s="1" t="s">
        <v>483</v>
      </c>
    </row>
    <row r="16" spans="1:18" x14ac:dyDescent="0.2">
      <c r="A16" s="316" t="s">
        <v>427</v>
      </c>
      <c r="B16" s="317"/>
      <c r="C16" s="317"/>
      <c r="D16" s="318">
        <v>1</v>
      </c>
      <c r="E16" s="318"/>
      <c r="F16" s="318"/>
      <c r="G16" s="318"/>
      <c r="H16" s="319"/>
      <c r="K16" s="320" t="s">
        <v>428</v>
      </c>
      <c r="L16" s="320"/>
      <c r="M16" s="320"/>
      <c r="N16" s="321">
        <v>2</v>
      </c>
      <c r="O16" s="321"/>
      <c r="P16" s="321"/>
      <c r="Q16" s="321"/>
      <c r="R16" s="321"/>
    </row>
    <row r="17" spans="1:18" x14ac:dyDescent="0.2">
      <c r="A17" s="316" t="s">
        <v>413</v>
      </c>
      <c r="B17" s="317"/>
      <c r="C17" s="317"/>
      <c r="D17" s="318">
        <v>2500</v>
      </c>
      <c r="E17" s="318"/>
      <c r="F17" s="318"/>
      <c r="G17" s="318"/>
      <c r="H17" s="319"/>
      <c r="K17" s="320" t="s">
        <v>417</v>
      </c>
      <c r="L17" s="320"/>
      <c r="M17" s="320"/>
      <c r="N17" s="322" t="s">
        <v>418</v>
      </c>
      <c r="O17" s="323"/>
      <c r="P17" s="323"/>
      <c r="Q17" s="323"/>
      <c r="R17" s="324"/>
    </row>
    <row r="18" spans="1:18" x14ac:dyDescent="0.2">
      <c r="A18" s="316" t="s">
        <v>414</v>
      </c>
      <c r="B18" s="317"/>
      <c r="C18" s="317"/>
      <c r="D18" s="318">
        <v>4300</v>
      </c>
      <c r="E18" s="318"/>
      <c r="F18" s="318"/>
      <c r="G18" s="318"/>
      <c r="H18" s="319"/>
      <c r="K18" s="325" t="s">
        <v>419</v>
      </c>
      <c r="L18" s="320" t="s">
        <v>420</v>
      </c>
      <c r="M18" s="320"/>
      <c r="N18" s="322" t="s">
        <v>421</v>
      </c>
      <c r="O18" s="323"/>
      <c r="P18" s="323"/>
      <c r="Q18" s="323"/>
      <c r="R18" s="324"/>
    </row>
    <row r="19" spans="1:18" x14ac:dyDescent="0.2">
      <c r="K19" s="325"/>
      <c r="L19" s="320" t="s">
        <v>422</v>
      </c>
      <c r="M19" s="320"/>
      <c r="N19" s="322" t="s">
        <v>423</v>
      </c>
      <c r="O19" s="323"/>
      <c r="P19" s="323"/>
      <c r="Q19" s="323"/>
      <c r="R19" s="324"/>
    </row>
    <row r="20" spans="1:18" x14ac:dyDescent="0.2">
      <c r="A20" s="316" t="s">
        <v>416</v>
      </c>
      <c r="B20" s="317"/>
      <c r="C20" s="317"/>
      <c r="D20" s="318">
        <v>1</v>
      </c>
      <c r="E20" s="318"/>
      <c r="F20" s="318"/>
      <c r="G20" s="318"/>
      <c r="H20" s="319"/>
      <c r="K20" s="317" t="s">
        <v>424</v>
      </c>
      <c r="L20" s="317"/>
      <c r="M20" s="210" t="s">
        <v>425</v>
      </c>
      <c r="N20" s="322">
        <v>4600</v>
      </c>
      <c r="O20" s="323"/>
      <c r="P20" s="323"/>
      <c r="Q20" s="323"/>
      <c r="R20" s="324"/>
    </row>
    <row r="21" spans="1:18" x14ac:dyDescent="0.2">
      <c r="A21" s="316" t="s">
        <v>413</v>
      </c>
      <c r="B21" s="317"/>
      <c r="C21" s="317"/>
      <c r="D21" s="318">
        <v>2900</v>
      </c>
      <c r="E21" s="318"/>
      <c r="F21" s="318"/>
      <c r="G21" s="318"/>
      <c r="H21" s="319"/>
      <c r="K21" s="317"/>
      <c r="L21" s="317"/>
      <c r="M21" s="210" t="s">
        <v>426</v>
      </c>
      <c r="N21" s="322">
        <v>4600</v>
      </c>
      <c r="O21" s="323"/>
      <c r="P21" s="323"/>
      <c r="Q21" s="323"/>
      <c r="R21" s="324"/>
    </row>
    <row r="22" spans="1:18" x14ac:dyDescent="0.2">
      <c r="A22" s="316" t="s">
        <v>415</v>
      </c>
      <c r="B22" s="317"/>
      <c r="C22" s="317"/>
      <c r="D22" s="318">
        <v>4700</v>
      </c>
      <c r="E22" s="318"/>
      <c r="F22" s="318"/>
      <c r="G22" s="318"/>
      <c r="H22" s="319"/>
    </row>
  </sheetData>
  <mergeCells count="26">
    <mergeCell ref="K20:L21"/>
    <mergeCell ref="N20:R20"/>
    <mergeCell ref="N21:R21"/>
    <mergeCell ref="A22:C22"/>
    <mergeCell ref="D22:H22"/>
    <mergeCell ref="K18:K19"/>
    <mergeCell ref="L18:M18"/>
    <mergeCell ref="N18:R18"/>
    <mergeCell ref="L19:M19"/>
    <mergeCell ref="N19:R19"/>
    <mergeCell ref="A18:C18"/>
    <mergeCell ref="D18:H18"/>
    <mergeCell ref="A20:C20"/>
    <mergeCell ref="D20:H20"/>
    <mergeCell ref="A21:C21"/>
    <mergeCell ref="D21:H21"/>
    <mergeCell ref="A2:J3"/>
    <mergeCell ref="K2:O3"/>
    <mergeCell ref="A16:C16"/>
    <mergeCell ref="D16:H16"/>
    <mergeCell ref="A17:C17"/>
    <mergeCell ref="D17:H17"/>
    <mergeCell ref="K16:M16"/>
    <mergeCell ref="N16:R16"/>
    <mergeCell ref="K17:M17"/>
    <mergeCell ref="N17:R1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7"/>
  <sheetViews>
    <sheetView topLeftCell="A24" workbookViewId="0">
      <selection activeCell="I41" sqref="I41"/>
    </sheetView>
  </sheetViews>
  <sheetFormatPr defaultRowHeight="12.75" x14ac:dyDescent="0.2"/>
  <cols>
    <col min="1" max="1" width="11.7109375" bestFit="1" customWidth="1"/>
    <col min="2" max="2" width="15.5703125" bestFit="1" customWidth="1"/>
    <col min="8" max="8" width="13.85546875" customWidth="1"/>
    <col min="9" max="9" width="16.28515625" customWidth="1"/>
  </cols>
  <sheetData>
    <row r="1" spans="1:14" ht="13.5" thickBot="1" x14ac:dyDescent="0.25"/>
    <row r="2" spans="1:14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7"/>
      <c r="J2" s="271" t="s">
        <v>1</v>
      </c>
      <c r="K2" s="272"/>
      <c r="L2" s="272"/>
      <c r="M2" s="272"/>
      <c r="N2" s="273"/>
    </row>
    <row r="3" spans="1:14" x14ac:dyDescent="0.2">
      <c r="A3" s="326"/>
      <c r="B3" s="327"/>
      <c r="C3" s="327"/>
      <c r="D3" s="327"/>
      <c r="E3" s="327"/>
      <c r="F3" s="327"/>
      <c r="G3" s="327"/>
      <c r="H3" s="327"/>
      <c r="I3" s="328"/>
      <c r="J3" s="329"/>
      <c r="K3" s="312"/>
      <c r="L3" s="312"/>
      <c r="M3" s="312"/>
      <c r="N3" s="313"/>
    </row>
    <row r="4" spans="1:14" ht="15.75" x14ac:dyDescent="0.25">
      <c r="A4" s="227" t="s">
        <v>2</v>
      </c>
      <c r="B4" s="228" t="s">
        <v>3</v>
      </c>
      <c r="C4" s="197"/>
      <c r="D4" s="227" t="s">
        <v>4</v>
      </c>
      <c r="E4" s="197"/>
      <c r="F4" s="227" t="s">
        <v>5</v>
      </c>
      <c r="G4" s="197"/>
      <c r="H4" s="228" t="s">
        <v>6</v>
      </c>
      <c r="I4" s="197"/>
      <c r="J4" s="227" t="s">
        <v>406</v>
      </c>
      <c r="K4" s="227" t="s">
        <v>407</v>
      </c>
      <c r="L4" s="227" t="s">
        <v>524</v>
      </c>
      <c r="M4" s="227"/>
      <c r="N4" s="227"/>
    </row>
    <row r="5" spans="1:14" x14ac:dyDescent="0.2">
      <c r="A5" s="197"/>
      <c r="B5" s="196" t="s">
        <v>535</v>
      </c>
      <c r="C5" s="197" t="s">
        <v>12</v>
      </c>
      <c r="D5" s="197" t="s">
        <v>11</v>
      </c>
      <c r="E5" s="197" t="s">
        <v>12</v>
      </c>
      <c r="F5" s="197" t="s">
        <v>11</v>
      </c>
      <c r="G5" s="197" t="s">
        <v>12</v>
      </c>
      <c r="H5" s="198" t="s">
        <v>11</v>
      </c>
      <c r="I5" s="197" t="s">
        <v>12</v>
      </c>
      <c r="J5" s="197"/>
      <c r="K5" s="197"/>
      <c r="L5" s="197"/>
      <c r="M5" s="197"/>
      <c r="N5" s="197"/>
    </row>
    <row r="6" spans="1:14" x14ac:dyDescent="0.2">
      <c r="A6" s="195" t="s">
        <v>525</v>
      </c>
      <c r="B6" s="229">
        <v>1151</v>
      </c>
      <c r="C6" s="197">
        <v>930</v>
      </c>
      <c r="D6" s="197">
        <v>250</v>
      </c>
      <c r="E6" s="197">
        <v>150</v>
      </c>
      <c r="F6" s="197">
        <v>160</v>
      </c>
      <c r="G6" s="197">
        <v>203.2</v>
      </c>
      <c r="H6" s="196" t="s">
        <v>68</v>
      </c>
      <c r="I6" s="198" t="s">
        <v>66</v>
      </c>
      <c r="J6" s="197"/>
      <c r="K6" s="197">
        <v>1.506</v>
      </c>
      <c r="L6" s="197">
        <v>1.3898999999999999</v>
      </c>
      <c r="M6" s="197"/>
      <c r="N6" s="197"/>
    </row>
    <row r="7" spans="1:14" x14ac:dyDescent="0.2">
      <c r="A7" s="195" t="s">
        <v>526</v>
      </c>
      <c r="B7" s="229">
        <v>1151</v>
      </c>
      <c r="C7" s="197">
        <v>930</v>
      </c>
      <c r="D7" s="197">
        <v>250</v>
      </c>
      <c r="E7" s="197">
        <v>150</v>
      </c>
      <c r="F7" s="197">
        <v>285</v>
      </c>
      <c r="G7" s="197">
        <v>203.2</v>
      </c>
      <c r="H7" s="196" t="s">
        <v>68</v>
      </c>
      <c r="I7" s="198" t="s">
        <v>66</v>
      </c>
      <c r="J7" s="197"/>
      <c r="K7" s="197">
        <v>1.506</v>
      </c>
      <c r="L7" s="197">
        <v>1.3898999999999999</v>
      </c>
      <c r="M7" s="197"/>
      <c r="N7" s="197"/>
    </row>
    <row r="8" spans="1:14" x14ac:dyDescent="0.2">
      <c r="A8" s="195" t="s">
        <v>527</v>
      </c>
      <c r="B8" s="229">
        <v>1151</v>
      </c>
      <c r="C8" s="197">
        <v>930</v>
      </c>
      <c r="D8" s="197">
        <v>250</v>
      </c>
      <c r="E8" s="197">
        <v>150</v>
      </c>
      <c r="F8" s="197">
        <v>285</v>
      </c>
      <c r="G8" s="197">
        <v>203.2</v>
      </c>
      <c r="H8" s="196" t="s">
        <v>68</v>
      </c>
      <c r="I8" s="198" t="s">
        <v>66</v>
      </c>
      <c r="J8" s="197"/>
      <c r="K8" s="197">
        <v>1.506</v>
      </c>
      <c r="L8" s="197">
        <v>1.3898999999999999</v>
      </c>
      <c r="M8" s="197"/>
      <c r="N8" s="197"/>
    </row>
    <row r="9" spans="1:14" x14ac:dyDescent="0.2">
      <c r="A9" s="195" t="s">
        <v>528</v>
      </c>
      <c r="B9" s="229">
        <v>1151</v>
      </c>
      <c r="C9" s="197">
        <v>930</v>
      </c>
      <c r="D9" s="197">
        <v>250</v>
      </c>
      <c r="E9" s="197">
        <v>150</v>
      </c>
      <c r="F9" s="197">
        <v>285</v>
      </c>
      <c r="G9" s="197">
        <v>203.2</v>
      </c>
      <c r="H9" s="196" t="s">
        <v>68</v>
      </c>
      <c r="I9" s="196" t="s">
        <v>66</v>
      </c>
      <c r="J9" s="197"/>
      <c r="K9" s="197">
        <v>1.506</v>
      </c>
      <c r="L9" s="197">
        <v>1.3898999999999999</v>
      </c>
      <c r="M9" s="197"/>
      <c r="N9" s="197"/>
    </row>
    <row r="10" spans="1:14" x14ac:dyDescent="0.2">
      <c r="E10" s="5"/>
      <c r="G10" s="5"/>
    </row>
    <row r="11" spans="1:14" x14ac:dyDescent="0.2">
      <c r="A11" s="195" t="s">
        <v>512</v>
      </c>
      <c r="B11" s="196" t="s">
        <v>529</v>
      </c>
      <c r="C11" s="197">
        <v>930</v>
      </c>
      <c r="D11" s="197">
        <v>250</v>
      </c>
      <c r="E11" s="197">
        <v>150</v>
      </c>
      <c r="F11" s="197">
        <v>285</v>
      </c>
      <c r="G11" s="197">
        <v>203.2</v>
      </c>
      <c r="H11" s="196" t="s">
        <v>68</v>
      </c>
      <c r="I11" s="198" t="s">
        <v>66</v>
      </c>
      <c r="J11" s="197"/>
      <c r="K11" s="197">
        <v>1.607</v>
      </c>
      <c r="L11" s="197"/>
      <c r="M11" s="197"/>
      <c r="N11" s="197"/>
    </row>
    <row r="12" spans="1:14" x14ac:dyDescent="0.2">
      <c r="A12" s="195" t="s">
        <v>513</v>
      </c>
      <c r="B12" s="196" t="s">
        <v>529</v>
      </c>
      <c r="C12" s="197">
        <v>930</v>
      </c>
      <c r="D12" s="197">
        <v>250</v>
      </c>
      <c r="E12" s="197">
        <v>150</v>
      </c>
      <c r="F12" s="197">
        <v>285</v>
      </c>
      <c r="G12" s="197">
        <v>203.2</v>
      </c>
      <c r="H12" s="196" t="s">
        <v>68</v>
      </c>
      <c r="I12" s="198" t="s">
        <v>66</v>
      </c>
      <c r="J12" s="197"/>
      <c r="K12" s="197">
        <v>1.607</v>
      </c>
      <c r="L12" s="197"/>
      <c r="M12" s="197"/>
      <c r="N12" s="197"/>
    </row>
    <row r="13" spans="1:14" x14ac:dyDescent="0.2">
      <c r="A13" s="195" t="s">
        <v>514</v>
      </c>
      <c r="B13" s="196" t="s">
        <v>529</v>
      </c>
      <c r="C13" s="197">
        <v>930</v>
      </c>
      <c r="D13" s="197">
        <v>250</v>
      </c>
      <c r="E13" s="197">
        <v>150</v>
      </c>
      <c r="F13" s="197">
        <v>285</v>
      </c>
      <c r="G13" s="197">
        <v>203.2</v>
      </c>
      <c r="H13" s="196" t="s">
        <v>68</v>
      </c>
      <c r="I13" s="198" t="s">
        <v>66</v>
      </c>
      <c r="J13" s="197"/>
      <c r="K13" s="197">
        <v>1.607</v>
      </c>
      <c r="L13" s="197"/>
      <c r="M13" s="197"/>
      <c r="N13" s="197"/>
    </row>
    <row r="14" spans="1:14" x14ac:dyDescent="0.2">
      <c r="A14" s="195" t="s">
        <v>515</v>
      </c>
      <c r="B14" s="196" t="s">
        <v>529</v>
      </c>
      <c r="C14" s="197">
        <v>930</v>
      </c>
      <c r="D14" s="197">
        <v>250</v>
      </c>
      <c r="E14" s="197">
        <v>150</v>
      </c>
      <c r="F14" s="197">
        <v>285</v>
      </c>
      <c r="G14" s="197">
        <v>203.2</v>
      </c>
      <c r="H14" s="196" t="s">
        <v>68</v>
      </c>
      <c r="I14" s="196" t="s">
        <v>66</v>
      </c>
      <c r="J14" s="197"/>
      <c r="K14" s="197">
        <v>1.607</v>
      </c>
      <c r="L14" s="197"/>
      <c r="M14" s="197"/>
      <c r="N14" s="197"/>
    </row>
    <row r="15" spans="1:14" x14ac:dyDescent="0.2">
      <c r="E15" s="230"/>
      <c r="G15" s="230"/>
    </row>
    <row r="16" spans="1:14" x14ac:dyDescent="0.2">
      <c r="A16" s="195" t="s">
        <v>516</v>
      </c>
      <c r="B16" s="196" t="s">
        <v>271</v>
      </c>
      <c r="C16" s="197">
        <v>930</v>
      </c>
      <c r="D16" s="197">
        <v>250</v>
      </c>
      <c r="E16" s="197">
        <v>150</v>
      </c>
      <c r="F16" s="197">
        <v>285</v>
      </c>
      <c r="G16" s="197">
        <v>203.2</v>
      </c>
      <c r="H16" s="196" t="s">
        <v>68</v>
      </c>
      <c r="I16" s="198" t="s">
        <v>66</v>
      </c>
      <c r="J16" s="197"/>
      <c r="K16" s="197">
        <v>1.6120000000000001</v>
      </c>
      <c r="L16" s="197">
        <v>1.546</v>
      </c>
      <c r="M16" s="197"/>
      <c r="N16" s="197"/>
    </row>
    <row r="17" spans="1:14" x14ac:dyDescent="0.2">
      <c r="A17" s="195" t="s">
        <v>517</v>
      </c>
      <c r="B17" s="196" t="s">
        <v>271</v>
      </c>
      <c r="C17" s="197">
        <v>930</v>
      </c>
      <c r="D17" s="197">
        <v>250</v>
      </c>
      <c r="E17" s="197">
        <v>150</v>
      </c>
      <c r="F17" s="197">
        <v>285</v>
      </c>
      <c r="G17" s="197">
        <v>203.2</v>
      </c>
      <c r="H17" s="196" t="s">
        <v>68</v>
      </c>
      <c r="I17" s="198" t="s">
        <v>66</v>
      </c>
      <c r="J17" s="197"/>
      <c r="K17" s="197">
        <v>1.6120000000000001</v>
      </c>
      <c r="L17" s="197">
        <v>1.546</v>
      </c>
      <c r="M17" s="197"/>
      <c r="N17" s="197"/>
    </row>
    <row r="18" spans="1:14" x14ac:dyDescent="0.2">
      <c r="A18" s="195" t="s">
        <v>518</v>
      </c>
      <c r="B18" s="196" t="s">
        <v>271</v>
      </c>
      <c r="C18" s="197">
        <v>930</v>
      </c>
      <c r="D18" s="197">
        <v>250</v>
      </c>
      <c r="E18" s="197">
        <v>150</v>
      </c>
      <c r="F18" s="197">
        <v>285</v>
      </c>
      <c r="G18" s="197">
        <v>203.2</v>
      </c>
      <c r="H18" s="196" t="s">
        <v>68</v>
      </c>
      <c r="I18" s="198" t="s">
        <v>66</v>
      </c>
      <c r="J18" s="197"/>
      <c r="K18" s="197">
        <v>1.6120000000000001</v>
      </c>
      <c r="L18" s="197">
        <v>1.546</v>
      </c>
      <c r="M18" s="197"/>
      <c r="N18" s="197"/>
    </row>
    <row r="19" spans="1:14" x14ac:dyDescent="0.2">
      <c r="A19" s="195" t="s">
        <v>519</v>
      </c>
      <c r="B19" s="196" t="s">
        <v>271</v>
      </c>
      <c r="C19" s="197">
        <v>930</v>
      </c>
      <c r="D19" s="197">
        <v>250</v>
      </c>
      <c r="E19" s="197">
        <v>150</v>
      </c>
      <c r="F19" s="197">
        <v>285</v>
      </c>
      <c r="G19" s="197">
        <v>203.2</v>
      </c>
      <c r="H19" s="196" t="s">
        <v>68</v>
      </c>
      <c r="I19" s="196" t="s">
        <v>66</v>
      </c>
      <c r="J19" s="197"/>
      <c r="K19" s="197">
        <v>1.6120000000000001</v>
      </c>
      <c r="L19" s="197">
        <v>1.546</v>
      </c>
      <c r="M19" s="197"/>
      <c r="N19" s="197"/>
    </row>
    <row r="20" spans="1:14" x14ac:dyDescent="0.2">
      <c r="G20" s="230"/>
    </row>
    <row r="21" spans="1:14" x14ac:dyDescent="0.2">
      <c r="A21" s="195" t="s">
        <v>530</v>
      </c>
      <c r="B21" s="196" t="s">
        <v>534</v>
      </c>
      <c r="C21" s="197">
        <v>1150</v>
      </c>
      <c r="D21" s="197">
        <v>250</v>
      </c>
      <c r="E21" s="197">
        <v>150</v>
      </c>
      <c r="F21" s="197">
        <v>285</v>
      </c>
      <c r="G21" s="197">
        <v>203.2</v>
      </c>
      <c r="H21" s="196" t="s">
        <v>68</v>
      </c>
      <c r="I21" s="198" t="s">
        <v>66</v>
      </c>
      <c r="J21" s="197"/>
      <c r="K21" s="197">
        <v>1.4179999999999999</v>
      </c>
      <c r="L21" s="197">
        <v>1.278</v>
      </c>
      <c r="M21" s="197"/>
      <c r="N21" s="197"/>
    </row>
    <row r="22" spans="1:14" x14ac:dyDescent="0.2">
      <c r="A22" s="195" t="s">
        <v>531</v>
      </c>
      <c r="B22" s="196" t="s">
        <v>534</v>
      </c>
      <c r="C22" s="197">
        <v>1150</v>
      </c>
      <c r="D22" s="197">
        <v>250</v>
      </c>
      <c r="E22" s="197">
        <v>150</v>
      </c>
      <c r="F22" s="197">
        <v>285</v>
      </c>
      <c r="G22" s="197">
        <v>203.2</v>
      </c>
      <c r="H22" s="196" t="s">
        <v>68</v>
      </c>
      <c r="I22" s="198" t="s">
        <v>66</v>
      </c>
      <c r="J22" s="197"/>
      <c r="K22" s="197">
        <v>1.4179999999999999</v>
      </c>
      <c r="L22" s="197">
        <v>1.278</v>
      </c>
      <c r="M22" s="197"/>
      <c r="N22" s="197"/>
    </row>
    <row r="23" spans="1:14" x14ac:dyDescent="0.2">
      <c r="A23" s="195" t="s">
        <v>532</v>
      </c>
      <c r="B23" s="196" t="s">
        <v>534</v>
      </c>
      <c r="C23" s="197">
        <v>1150</v>
      </c>
      <c r="D23" s="197">
        <v>250</v>
      </c>
      <c r="E23" s="197">
        <v>150</v>
      </c>
      <c r="F23" s="197">
        <v>285</v>
      </c>
      <c r="G23" s="197">
        <v>203.2</v>
      </c>
      <c r="H23" s="196" t="s">
        <v>68</v>
      </c>
      <c r="I23" s="198" t="s">
        <v>66</v>
      </c>
      <c r="J23" s="197"/>
      <c r="K23" s="197">
        <v>1.4179999999999999</v>
      </c>
      <c r="L23" s="197">
        <v>1.278</v>
      </c>
      <c r="M23" s="197"/>
      <c r="N23" s="197"/>
    </row>
    <row r="24" spans="1:14" x14ac:dyDescent="0.2">
      <c r="A24" s="195" t="s">
        <v>533</v>
      </c>
      <c r="B24" s="196" t="s">
        <v>534</v>
      </c>
      <c r="C24" s="197">
        <v>1150</v>
      </c>
      <c r="D24" s="197">
        <v>250</v>
      </c>
      <c r="E24" s="197">
        <v>150</v>
      </c>
      <c r="F24" s="197">
        <v>285</v>
      </c>
      <c r="G24" s="197">
        <v>203.2</v>
      </c>
      <c r="H24" s="196" t="s">
        <v>68</v>
      </c>
      <c r="I24" s="196" t="s">
        <v>66</v>
      </c>
      <c r="J24" s="197"/>
      <c r="K24" s="197">
        <v>1.4179999999999999</v>
      </c>
      <c r="L24" s="197">
        <v>1.278</v>
      </c>
      <c r="M24" s="197"/>
      <c r="N24" s="197"/>
    </row>
    <row r="25" spans="1:14" x14ac:dyDescent="0.2">
      <c r="A25" s="229"/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</row>
    <row r="26" spans="1:14" x14ac:dyDescent="0.2">
      <c r="A26" s="195" t="s">
        <v>520</v>
      </c>
      <c r="B26" s="196" t="s">
        <v>536</v>
      </c>
      <c r="C26" s="197">
        <v>1150</v>
      </c>
      <c r="D26" s="197">
        <v>250</v>
      </c>
      <c r="E26" s="197">
        <v>150</v>
      </c>
      <c r="F26" s="197">
        <v>285</v>
      </c>
      <c r="G26" s="197">
        <v>203.2</v>
      </c>
      <c r="H26" s="196" t="s">
        <v>68</v>
      </c>
      <c r="I26" s="198" t="s">
        <v>66</v>
      </c>
      <c r="J26" s="197"/>
      <c r="K26" s="197">
        <v>1.4930000000000001</v>
      </c>
      <c r="L26" s="197"/>
      <c r="M26" s="197"/>
      <c r="N26" s="197"/>
    </row>
    <row r="27" spans="1:14" x14ac:dyDescent="0.2">
      <c r="A27" s="195" t="s">
        <v>522</v>
      </c>
      <c r="B27" s="196" t="s">
        <v>537</v>
      </c>
      <c r="C27" s="197">
        <v>1150</v>
      </c>
      <c r="D27" s="197">
        <v>250</v>
      </c>
      <c r="E27" s="197">
        <v>150</v>
      </c>
      <c r="F27" s="197">
        <v>285</v>
      </c>
      <c r="G27" s="197">
        <v>203.2</v>
      </c>
      <c r="H27" s="196" t="s">
        <v>68</v>
      </c>
      <c r="I27" s="198" t="s">
        <v>66</v>
      </c>
      <c r="J27" s="197"/>
      <c r="K27" s="197">
        <v>1.4930000000000001</v>
      </c>
      <c r="L27" s="197"/>
      <c r="M27" s="197"/>
      <c r="N27" s="197"/>
    </row>
    <row r="28" spans="1:14" x14ac:dyDescent="0.2">
      <c r="A28" s="195" t="s">
        <v>521</v>
      </c>
      <c r="B28" s="196" t="s">
        <v>536</v>
      </c>
      <c r="C28" s="197">
        <v>1150</v>
      </c>
      <c r="D28" s="197">
        <v>250</v>
      </c>
      <c r="E28" s="197">
        <v>150</v>
      </c>
      <c r="F28" s="197">
        <v>285</v>
      </c>
      <c r="G28" s="197">
        <v>203.2</v>
      </c>
      <c r="H28" s="196" t="s">
        <v>68</v>
      </c>
      <c r="I28" s="198" t="s">
        <v>66</v>
      </c>
      <c r="J28" s="197"/>
      <c r="K28" s="197">
        <v>1.4930000000000001</v>
      </c>
      <c r="L28" s="197"/>
      <c r="M28" s="197"/>
      <c r="N28" s="197"/>
    </row>
    <row r="29" spans="1:14" x14ac:dyDescent="0.2">
      <c r="A29" s="195" t="s">
        <v>523</v>
      </c>
      <c r="B29" s="196" t="s">
        <v>536</v>
      </c>
      <c r="C29" s="197">
        <v>1150</v>
      </c>
      <c r="D29" s="197">
        <v>250</v>
      </c>
      <c r="E29" s="197">
        <v>150</v>
      </c>
      <c r="F29" s="197">
        <v>285</v>
      </c>
      <c r="G29" s="197">
        <v>203.2</v>
      </c>
      <c r="H29" s="196" t="s">
        <v>68</v>
      </c>
      <c r="I29" s="196" t="s">
        <v>66</v>
      </c>
      <c r="J29" s="197"/>
      <c r="K29" s="197">
        <v>1.4930000000000001</v>
      </c>
      <c r="L29" s="197"/>
      <c r="M29" s="197"/>
      <c r="N29" s="197"/>
    </row>
    <row r="32" spans="1:14" x14ac:dyDescent="0.2">
      <c r="A32" t="s">
        <v>589</v>
      </c>
    </row>
    <row r="33" spans="1:6" x14ac:dyDescent="0.2">
      <c r="A33" t="s">
        <v>590</v>
      </c>
    </row>
    <row r="34" spans="1:6" x14ac:dyDescent="0.2">
      <c r="A34" t="s">
        <v>591</v>
      </c>
    </row>
    <row r="35" spans="1:6" x14ac:dyDescent="0.2">
      <c r="A35" t="s">
        <v>592</v>
      </c>
    </row>
    <row r="36" spans="1:6" x14ac:dyDescent="0.2">
      <c r="A36" t="s">
        <v>593</v>
      </c>
    </row>
    <row r="37" spans="1:6" x14ac:dyDescent="0.2">
      <c r="A37" t="s">
        <v>594</v>
      </c>
    </row>
    <row r="38" spans="1:6" x14ac:dyDescent="0.2">
      <c r="A38" t="s">
        <v>595</v>
      </c>
    </row>
    <row r="39" spans="1:6" x14ac:dyDescent="0.2">
      <c r="A39" t="s">
        <v>596</v>
      </c>
    </row>
    <row r="40" spans="1:6" x14ac:dyDescent="0.2">
      <c r="A40" t="s">
        <v>597</v>
      </c>
    </row>
    <row r="41" spans="1:6" x14ac:dyDescent="0.2">
      <c r="A41" s="252" t="s">
        <v>598</v>
      </c>
    </row>
    <row r="42" spans="1:6" x14ac:dyDescent="0.2">
      <c r="A42" t="s">
        <v>599</v>
      </c>
    </row>
    <row r="43" spans="1:6" x14ac:dyDescent="0.2">
      <c r="A43" t="s">
        <v>600</v>
      </c>
    </row>
    <row r="44" spans="1:6" x14ac:dyDescent="0.2">
      <c r="A44" t="s">
        <v>601</v>
      </c>
    </row>
    <row r="45" spans="1:6" x14ac:dyDescent="0.2">
      <c r="A45" t="s">
        <v>602</v>
      </c>
    </row>
    <row r="46" spans="1:6" x14ac:dyDescent="0.2">
      <c r="A46" t="s">
        <v>604</v>
      </c>
      <c r="F46" s="252"/>
    </row>
    <row r="47" spans="1:6" x14ac:dyDescent="0.2">
      <c r="A47" t="s">
        <v>603</v>
      </c>
    </row>
  </sheetData>
  <mergeCells count="2">
    <mergeCell ref="A2:I3"/>
    <mergeCell ref="J2:N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O7"/>
  <sheetViews>
    <sheetView workbookViewId="0">
      <selection activeCell="O17" sqref="O17"/>
    </sheetView>
  </sheetViews>
  <sheetFormatPr defaultRowHeight="12.75" x14ac:dyDescent="0.2"/>
  <cols>
    <col min="2" max="2" width="4.7109375" customWidth="1"/>
    <col min="3" max="3" width="6.5703125" customWidth="1"/>
    <col min="7" max="7" width="7" customWidth="1"/>
    <col min="15" max="15" width="11.710937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61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97</v>
      </c>
      <c r="B5" s="22"/>
      <c r="C5" s="17">
        <v>1772</v>
      </c>
      <c r="D5" s="5">
        <v>1650</v>
      </c>
      <c r="E5" s="1">
        <v>290</v>
      </c>
      <c r="F5" s="5">
        <v>150</v>
      </c>
      <c r="G5" s="1">
        <v>330</v>
      </c>
      <c r="H5" s="5">
        <v>203.2</v>
      </c>
      <c r="I5" s="11" t="s">
        <v>67</v>
      </c>
      <c r="J5" s="9" t="s">
        <v>66</v>
      </c>
      <c r="K5" s="1">
        <v>1.3779999999999999</v>
      </c>
      <c r="L5" s="6"/>
      <c r="M5" s="6"/>
      <c r="N5" s="6"/>
      <c r="O5" s="6"/>
    </row>
    <row r="6" spans="1:15" x14ac:dyDescent="0.2">
      <c r="A6" s="7" t="s">
        <v>98</v>
      </c>
      <c r="B6" s="22"/>
      <c r="C6" s="17">
        <v>1772</v>
      </c>
      <c r="D6" s="5">
        <v>1650</v>
      </c>
      <c r="E6" s="1">
        <v>290</v>
      </c>
      <c r="F6" s="5">
        <v>150</v>
      </c>
      <c r="G6" s="1">
        <v>330</v>
      </c>
      <c r="H6" s="5">
        <v>203.2</v>
      </c>
      <c r="I6" s="11" t="s">
        <v>67</v>
      </c>
      <c r="J6" s="9" t="s">
        <v>66</v>
      </c>
      <c r="K6" s="1">
        <v>1.3779999999999999</v>
      </c>
      <c r="L6" s="6"/>
      <c r="M6" s="6"/>
      <c r="N6" s="6"/>
      <c r="O6" s="6"/>
    </row>
    <row r="7" spans="1:15" ht="13.5" thickBot="1" x14ac:dyDescent="0.25">
      <c r="A7" s="58" t="s">
        <v>99</v>
      </c>
      <c r="B7" s="76"/>
      <c r="C7" s="52">
        <v>1772</v>
      </c>
      <c r="D7" s="53">
        <v>1650</v>
      </c>
      <c r="E7" s="54">
        <v>290</v>
      </c>
      <c r="F7" s="53">
        <v>150</v>
      </c>
      <c r="G7" s="54">
        <v>330</v>
      </c>
      <c r="H7" s="53">
        <v>203.2</v>
      </c>
      <c r="I7" s="55" t="s">
        <v>67</v>
      </c>
      <c r="J7" s="56" t="s">
        <v>66</v>
      </c>
      <c r="K7" s="54">
        <v>1.3979999999999999</v>
      </c>
      <c r="L7" s="57"/>
      <c r="M7" s="57"/>
      <c r="N7" s="59"/>
      <c r="O7" s="57"/>
    </row>
  </sheetData>
  <sheetProtection password="D243" sheet="1" objects="1" scenarios="1"/>
  <mergeCells count="2">
    <mergeCell ref="A1:J2"/>
    <mergeCell ref="K1:O2"/>
  </mergeCells>
  <phoneticPr fontId="14" type="noConversion"/>
  <printOptions gridLines="1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9"/>
  <sheetViews>
    <sheetView topLeftCell="B1" workbookViewId="0">
      <selection activeCell="A16" sqref="A16:R22"/>
    </sheetView>
  </sheetViews>
  <sheetFormatPr defaultRowHeight="12.75" x14ac:dyDescent="0.2"/>
  <cols>
    <col min="4" max="4" width="12.85546875" customWidth="1"/>
  </cols>
  <sheetData>
    <row r="1" spans="1:15" ht="12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customHeight="1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405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406</v>
      </c>
      <c r="L3" s="26" t="s">
        <v>407</v>
      </c>
      <c r="M3" s="26"/>
      <c r="N3" s="27"/>
      <c r="O3" s="26"/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539</v>
      </c>
      <c r="B5" s="21"/>
      <c r="C5" s="17" t="s">
        <v>408</v>
      </c>
      <c r="D5" s="5">
        <v>1570</v>
      </c>
      <c r="E5" s="4">
        <v>250</v>
      </c>
      <c r="F5" s="5" t="s">
        <v>480</v>
      </c>
      <c r="G5" s="4">
        <v>285</v>
      </c>
      <c r="H5" s="5" t="s">
        <v>481</v>
      </c>
      <c r="I5" s="17" t="s">
        <v>430</v>
      </c>
      <c r="J5" s="8" t="s">
        <v>429</v>
      </c>
      <c r="K5" s="6">
        <v>1.3759999999999999</v>
      </c>
      <c r="L5" s="5">
        <v>1.349</v>
      </c>
      <c r="M5" s="6"/>
      <c r="N5" s="6"/>
      <c r="O5" s="5"/>
    </row>
    <row r="6" spans="1:15" x14ac:dyDescent="0.2">
      <c r="A6" s="7" t="s">
        <v>539</v>
      </c>
      <c r="B6" s="21" t="s">
        <v>540</v>
      </c>
      <c r="C6" s="17" t="s">
        <v>408</v>
      </c>
      <c r="D6" s="5" t="s">
        <v>541</v>
      </c>
      <c r="E6" s="4">
        <v>250</v>
      </c>
      <c r="F6" s="5" t="s">
        <v>480</v>
      </c>
      <c r="G6" s="4">
        <v>285</v>
      </c>
      <c r="H6" s="5" t="s">
        <v>481</v>
      </c>
      <c r="I6" s="17" t="s">
        <v>430</v>
      </c>
      <c r="J6" s="8" t="s">
        <v>429</v>
      </c>
      <c r="K6" s="13">
        <v>1318</v>
      </c>
      <c r="L6" s="5">
        <v>1.3180000000000001</v>
      </c>
      <c r="M6" s="6"/>
      <c r="N6" s="6"/>
      <c r="O6" s="5"/>
    </row>
    <row r="7" spans="1:15" x14ac:dyDescent="0.2">
      <c r="A7" s="7" t="s">
        <v>538</v>
      </c>
      <c r="B7" s="21"/>
      <c r="C7" s="17" t="s">
        <v>408</v>
      </c>
      <c r="D7" s="5">
        <v>1570</v>
      </c>
      <c r="E7" s="4">
        <v>250</v>
      </c>
      <c r="F7" s="5" t="s">
        <v>480</v>
      </c>
      <c r="G7" s="4">
        <v>285</v>
      </c>
      <c r="H7" s="5" t="s">
        <v>481</v>
      </c>
      <c r="I7" s="17" t="s">
        <v>68</v>
      </c>
      <c r="J7" s="9" t="s">
        <v>66</v>
      </c>
      <c r="K7" s="6">
        <v>1.3759999999999999</v>
      </c>
      <c r="L7" s="5">
        <v>1.349</v>
      </c>
      <c r="M7" s="6"/>
      <c r="N7" s="6"/>
      <c r="O7" s="5"/>
    </row>
    <row r="8" spans="1:15" x14ac:dyDescent="0.2">
      <c r="A8" s="7" t="s">
        <v>538</v>
      </c>
      <c r="B8" s="21" t="s">
        <v>540</v>
      </c>
      <c r="C8" s="17" t="s">
        <v>408</v>
      </c>
      <c r="D8" s="5" t="s">
        <v>541</v>
      </c>
      <c r="E8" s="4">
        <v>250</v>
      </c>
      <c r="F8" s="5" t="s">
        <v>480</v>
      </c>
      <c r="G8" s="4">
        <v>285</v>
      </c>
      <c r="H8" s="5" t="s">
        <v>481</v>
      </c>
      <c r="I8" s="17" t="s">
        <v>430</v>
      </c>
      <c r="J8" s="8" t="s">
        <v>429</v>
      </c>
      <c r="K8" s="13">
        <v>1318</v>
      </c>
      <c r="L8" s="5">
        <v>1.3180000000000001</v>
      </c>
      <c r="M8" s="6"/>
      <c r="N8" s="6"/>
      <c r="O8" s="5"/>
    </row>
    <row r="9" spans="1:15" x14ac:dyDescent="0.2">
      <c r="A9" s="7" t="s">
        <v>394</v>
      </c>
      <c r="B9" s="21"/>
      <c r="C9" s="17" t="s">
        <v>408</v>
      </c>
      <c r="D9" s="5">
        <v>1570</v>
      </c>
      <c r="E9" s="4">
        <v>250</v>
      </c>
      <c r="F9" s="5" t="s">
        <v>480</v>
      </c>
      <c r="G9" s="4">
        <v>285</v>
      </c>
      <c r="H9" s="5" t="s">
        <v>481</v>
      </c>
      <c r="I9" s="17" t="s">
        <v>68</v>
      </c>
      <c r="J9" s="9" t="s">
        <v>66</v>
      </c>
      <c r="K9" s="6">
        <v>1.3759999999999999</v>
      </c>
      <c r="L9" s="5">
        <v>1.349</v>
      </c>
      <c r="M9" s="6"/>
      <c r="N9" s="6"/>
      <c r="O9" s="5"/>
    </row>
    <row r="10" spans="1:15" x14ac:dyDescent="0.2">
      <c r="A10" s="7" t="s">
        <v>394</v>
      </c>
      <c r="B10" s="21" t="s">
        <v>540</v>
      </c>
      <c r="C10" s="17" t="s">
        <v>408</v>
      </c>
      <c r="D10" s="5" t="s">
        <v>541</v>
      </c>
      <c r="E10" s="4">
        <v>250</v>
      </c>
      <c r="F10" s="5" t="s">
        <v>480</v>
      </c>
      <c r="G10" s="4">
        <v>285</v>
      </c>
      <c r="H10" s="5" t="s">
        <v>481</v>
      </c>
      <c r="I10" s="17" t="s">
        <v>430</v>
      </c>
      <c r="J10" s="8" t="s">
        <v>429</v>
      </c>
      <c r="K10" s="13">
        <v>1318</v>
      </c>
      <c r="L10" s="5">
        <v>1.3180000000000001</v>
      </c>
      <c r="M10" s="6"/>
      <c r="N10" s="6"/>
      <c r="O10" s="5"/>
    </row>
    <row r="11" spans="1:15" x14ac:dyDescent="0.2">
      <c r="A11" s="7" t="s">
        <v>395</v>
      </c>
      <c r="B11" s="21"/>
      <c r="C11" s="17" t="s">
        <v>408</v>
      </c>
      <c r="D11" s="5">
        <v>1570</v>
      </c>
      <c r="E11" s="4">
        <v>250</v>
      </c>
      <c r="F11" s="5" t="s">
        <v>480</v>
      </c>
      <c r="G11" s="4">
        <v>285</v>
      </c>
      <c r="H11" s="5" t="s">
        <v>481</v>
      </c>
      <c r="I11" s="17" t="s">
        <v>68</v>
      </c>
      <c r="J11" s="9" t="s">
        <v>66</v>
      </c>
      <c r="K11" s="6">
        <v>1.3759999999999999</v>
      </c>
      <c r="L11" s="5">
        <v>1.349</v>
      </c>
    </row>
    <row r="12" spans="1:15" x14ac:dyDescent="0.2">
      <c r="A12" s="7" t="s">
        <v>395</v>
      </c>
      <c r="B12" s="21" t="s">
        <v>540</v>
      </c>
      <c r="C12" s="17" t="s">
        <v>408</v>
      </c>
      <c r="D12" s="5" t="s">
        <v>541</v>
      </c>
      <c r="E12" s="4">
        <v>250</v>
      </c>
      <c r="F12" s="5" t="s">
        <v>480</v>
      </c>
      <c r="G12" s="4">
        <v>285</v>
      </c>
      <c r="H12" s="5" t="s">
        <v>481</v>
      </c>
      <c r="I12" s="17" t="s">
        <v>430</v>
      </c>
      <c r="J12" s="8" t="s">
        <v>429</v>
      </c>
      <c r="K12" s="13">
        <v>1318</v>
      </c>
      <c r="L12" s="5">
        <v>1.3180000000000001</v>
      </c>
    </row>
    <row r="13" spans="1:15" x14ac:dyDescent="0.2">
      <c r="A13" s="7" t="s">
        <v>396</v>
      </c>
      <c r="B13" s="7"/>
      <c r="C13" s="17" t="s">
        <v>408</v>
      </c>
      <c r="D13" s="5">
        <v>1570</v>
      </c>
      <c r="E13" s="4">
        <v>250</v>
      </c>
      <c r="F13" s="5" t="s">
        <v>480</v>
      </c>
      <c r="G13" s="4">
        <v>285</v>
      </c>
      <c r="H13" s="5" t="s">
        <v>481</v>
      </c>
      <c r="I13" s="17" t="s">
        <v>68</v>
      </c>
      <c r="J13" s="8" t="s">
        <v>66</v>
      </c>
      <c r="K13" s="6">
        <v>1.3759999999999999</v>
      </c>
      <c r="L13" s="5">
        <v>1.349</v>
      </c>
    </row>
    <row r="14" spans="1:15" x14ac:dyDescent="0.2">
      <c r="A14" s="7" t="s">
        <v>396</v>
      </c>
      <c r="B14" s="21" t="s">
        <v>540</v>
      </c>
      <c r="C14" s="17" t="s">
        <v>408</v>
      </c>
      <c r="D14" s="5" t="s">
        <v>541</v>
      </c>
      <c r="E14" s="4">
        <v>250</v>
      </c>
      <c r="F14" s="5" t="s">
        <v>480</v>
      </c>
      <c r="G14" s="4">
        <v>285</v>
      </c>
      <c r="H14" s="5" t="s">
        <v>481</v>
      </c>
      <c r="I14" s="17" t="s">
        <v>430</v>
      </c>
      <c r="J14" s="8" t="s">
        <v>429</v>
      </c>
      <c r="K14" s="13">
        <v>1318</v>
      </c>
      <c r="L14" s="5">
        <v>1.3180000000000001</v>
      </c>
    </row>
    <row r="15" spans="1:15" ht="13.5" thickBot="1" x14ac:dyDescent="0.25"/>
    <row r="16" spans="1:15" ht="16.5" thickBot="1" x14ac:dyDescent="0.3">
      <c r="A16" s="66" t="s">
        <v>149</v>
      </c>
      <c r="B16" s="28" t="s">
        <v>3</v>
      </c>
      <c r="C16" s="29"/>
      <c r="D16" s="27" t="s">
        <v>4</v>
      </c>
      <c r="E16" s="29"/>
      <c r="F16" s="27" t="s">
        <v>5</v>
      </c>
      <c r="G16" s="29"/>
      <c r="H16" s="30" t="s">
        <v>6</v>
      </c>
      <c r="I16" s="29"/>
      <c r="J16" s="26" t="s">
        <v>7</v>
      </c>
      <c r="K16" s="26" t="s">
        <v>8</v>
      </c>
      <c r="L16" s="26" t="s">
        <v>9</v>
      </c>
      <c r="M16" s="27" t="s">
        <v>10</v>
      </c>
      <c r="N16" s="26" t="s">
        <v>134</v>
      </c>
    </row>
    <row r="17" spans="1:18" x14ac:dyDescent="0.2">
      <c r="A17" s="194"/>
      <c r="B17" s="72" t="s">
        <v>546</v>
      </c>
      <c r="C17" s="3" t="s">
        <v>12</v>
      </c>
      <c r="D17" s="73" t="s">
        <v>11</v>
      </c>
      <c r="E17" s="3" t="s">
        <v>12</v>
      </c>
      <c r="F17" s="73" t="s">
        <v>11</v>
      </c>
      <c r="G17" s="3" t="s">
        <v>12</v>
      </c>
      <c r="H17" s="74" t="s">
        <v>11</v>
      </c>
      <c r="I17" s="3" t="s">
        <v>12</v>
      </c>
      <c r="J17" s="31"/>
      <c r="K17" s="3"/>
      <c r="L17" s="31"/>
      <c r="M17" s="31"/>
      <c r="N17" s="3"/>
      <c r="O17" s="277" t="s">
        <v>547</v>
      </c>
      <c r="P17" s="278"/>
      <c r="Q17" s="278"/>
      <c r="R17" s="278"/>
    </row>
    <row r="18" spans="1:18" x14ac:dyDescent="0.2">
      <c r="A18" s="208">
        <v>40</v>
      </c>
      <c r="B18" s="196" t="s">
        <v>241</v>
      </c>
      <c r="C18" s="197">
        <v>1770</v>
      </c>
      <c r="D18" s="197">
        <v>290</v>
      </c>
      <c r="E18" s="197">
        <v>221</v>
      </c>
      <c r="F18" s="197">
        <v>330</v>
      </c>
      <c r="G18" s="197">
        <v>275</v>
      </c>
      <c r="H18" s="198" t="s">
        <v>67</v>
      </c>
      <c r="I18" s="198" t="s">
        <v>66</v>
      </c>
      <c r="J18" s="197"/>
      <c r="K18" s="235">
        <v>1345</v>
      </c>
      <c r="L18" s="5"/>
      <c r="M18" s="6"/>
      <c r="N18" s="5"/>
      <c r="O18" s="277"/>
      <c r="P18" s="278"/>
      <c r="Q18" s="278"/>
      <c r="R18" s="278"/>
    </row>
    <row r="19" spans="1:18" x14ac:dyDescent="0.2">
      <c r="A19" s="208">
        <v>40</v>
      </c>
      <c r="B19" s="196" t="s">
        <v>241</v>
      </c>
      <c r="C19" s="197">
        <v>1770</v>
      </c>
      <c r="D19" s="197">
        <v>290</v>
      </c>
      <c r="E19" s="197">
        <v>221</v>
      </c>
      <c r="F19" s="197">
        <v>330</v>
      </c>
      <c r="G19" s="197">
        <v>275</v>
      </c>
      <c r="H19" s="198" t="s">
        <v>67</v>
      </c>
      <c r="I19" s="198" t="s">
        <v>66</v>
      </c>
      <c r="J19" s="197"/>
      <c r="K19" s="235">
        <v>1345</v>
      </c>
      <c r="L19" s="5"/>
      <c r="M19" s="6"/>
      <c r="N19" s="5"/>
      <c r="O19" s="277"/>
      <c r="P19" s="278"/>
      <c r="Q19" s="278"/>
      <c r="R19" s="278"/>
    </row>
    <row r="20" spans="1:18" x14ac:dyDescent="0.2">
      <c r="A20" s="208">
        <v>40</v>
      </c>
      <c r="B20" s="196" t="s">
        <v>241</v>
      </c>
      <c r="C20" s="197">
        <v>1770</v>
      </c>
      <c r="D20" s="197">
        <v>290</v>
      </c>
      <c r="E20" s="197">
        <v>221</v>
      </c>
      <c r="F20" s="197">
        <v>330</v>
      </c>
      <c r="G20" s="197">
        <v>275</v>
      </c>
      <c r="H20" s="198" t="s">
        <v>67</v>
      </c>
      <c r="I20" s="198" t="s">
        <v>66</v>
      </c>
      <c r="J20" s="197"/>
      <c r="K20" s="235">
        <v>1345</v>
      </c>
      <c r="L20" s="5"/>
      <c r="M20" s="6"/>
      <c r="N20" s="5"/>
      <c r="O20" s="277"/>
      <c r="P20" s="278"/>
      <c r="Q20" s="278"/>
      <c r="R20" s="278"/>
    </row>
    <row r="21" spans="1:18" x14ac:dyDescent="0.2">
      <c r="A21" s="208">
        <v>40</v>
      </c>
      <c r="B21" s="196" t="s">
        <v>241</v>
      </c>
      <c r="C21" s="5"/>
      <c r="D21" s="4">
        <v>290</v>
      </c>
      <c r="E21" s="5"/>
      <c r="F21" s="4">
        <v>330</v>
      </c>
      <c r="G21" s="5"/>
      <c r="H21" s="198" t="s">
        <v>67</v>
      </c>
      <c r="I21" s="9"/>
      <c r="J21" s="6"/>
      <c r="K21" s="235">
        <v>1345</v>
      </c>
      <c r="L21" s="6"/>
      <c r="M21" s="6"/>
      <c r="N21" s="5"/>
      <c r="O21" s="277"/>
      <c r="P21" s="278"/>
      <c r="Q21" s="278"/>
      <c r="R21" s="278"/>
    </row>
    <row r="22" spans="1:18" x14ac:dyDescent="0.2">
      <c r="A22" s="208">
        <v>40</v>
      </c>
      <c r="B22" s="196" t="s">
        <v>241</v>
      </c>
      <c r="C22" s="5"/>
      <c r="D22" s="4">
        <v>290</v>
      </c>
      <c r="E22" s="5"/>
      <c r="F22" s="4">
        <v>330</v>
      </c>
      <c r="G22" s="5"/>
      <c r="H22" s="198" t="s">
        <v>67</v>
      </c>
      <c r="I22" s="8"/>
      <c r="J22" s="6"/>
      <c r="K22" s="235">
        <v>1345</v>
      </c>
      <c r="L22" s="6"/>
      <c r="M22" s="6"/>
      <c r="N22" s="5"/>
      <c r="O22" s="277"/>
      <c r="P22" s="278"/>
      <c r="Q22" s="278"/>
      <c r="R22" s="278"/>
    </row>
    <row r="23" spans="1:18" x14ac:dyDescent="0.2">
      <c r="C23" t="s">
        <v>484</v>
      </c>
      <c r="D23" t="s">
        <v>485</v>
      </c>
      <c r="E23" t="s">
        <v>486</v>
      </c>
    </row>
    <row r="24" spans="1:18" x14ac:dyDescent="0.2">
      <c r="B24" t="s">
        <v>487</v>
      </c>
      <c r="C24" t="s">
        <v>488</v>
      </c>
      <c r="D24" t="s">
        <v>489</v>
      </c>
      <c r="E24" t="s">
        <v>490</v>
      </c>
    </row>
    <row r="25" spans="1:18" x14ac:dyDescent="0.2">
      <c r="B25" t="s">
        <v>491</v>
      </c>
      <c r="C25" t="s">
        <v>492</v>
      </c>
      <c r="D25" t="s">
        <v>493</v>
      </c>
      <c r="E25" t="s">
        <v>494</v>
      </c>
    </row>
    <row r="26" spans="1:18" x14ac:dyDescent="0.2">
      <c r="B26" t="s">
        <v>495</v>
      </c>
      <c r="C26" t="s">
        <v>496</v>
      </c>
      <c r="D26" t="s">
        <v>497</v>
      </c>
      <c r="E26" t="s">
        <v>498</v>
      </c>
    </row>
    <row r="27" spans="1:18" x14ac:dyDescent="0.2">
      <c r="B27" t="s">
        <v>499</v>
      </c>
      <c r="C27" t="s">
        <v>500</v>
      </c>
      <c r="D27" t="s">
        <v>501</v>
      </c>
      <c r="E27" t="s">
        <v>502</v>
      </c>
    </row>
    <row r="28" spans="1:18" x14ac:dyDescent="0.2">
      <c r="B28" t="s">
        <v>503</v>
      </c>
      <c r="C28" t="s">
        <v>504</v>
      </c>
      <c r="D28" t="s">
        <v>505</v>
      </c>
      <c r="E28" t="s">
        <v>502</v>
      </c>
    </row>
    <row r="29" spans="1:18" x14ac:dyDescent="0.2">
      <c r="B29" t="s">
        <v>506</v>
      </c>
      <c r="C29" t="s">
        <v>507</v>
      </c>
      <c r="D29" t="s">
        <v>508</v>
      </c>
      <c r="E29" t="s">
        <v>300</v>
      </c>
    </row>
  </sheetData>
  <mergeCells count="3">
    <mergeCell ref="A1:J2"/>
    <mergeCell ref="K1:O2"/>
    <mergeCell ref="O17:R2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O30"/>
  <sheetViews>
    <sheetView topLeftCell="E14" zoomScale="80" zoomScaleNormal="80" workbookViewId="0">
      <selection activeCell="O17" sqref="O17"/>
    </sheetView>
  </sheetViews>
  <sheetFormatPr defaultRowHeight="12.75" x14ac:dyDescent="0.2"/>
  <cols>
    <col min="1" max="1" width="10.85546875" customWidth="1"/>
    <col min="2" max="2" width="4.140625" style="65" customWidth="1"/>
    <col min="11" max="11" width="9.85546875" customWidth="1"/>
    <col min="12" max="12" width="10.28515625" customWidth="1"/>
    <col min="14" max="14" width="9.7109375" customWidth="1"/>
    <col min="15" max="15" width="12.4257812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61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ht="15" x14ac:dyDescent="0.2">
      <c r="A5" s="67"/>
      <c r="B5" s="68"/>
      <c r="C5" s="17"/>
      <c r="D5" s="5"/>
      <c r="E5" s="4"/>
      <c r="F5" s="5"/>
      <c r="G5" s="4"/>
      <c r="H5" s="5"/>
      <c r="I5" s="41"/>
      <c r="J5" s="9"/>
      <c r="K5" s="6"/>
      <c r="L5" s="5"/>
      <c r="M5" s="6"/>
      <c r="N5" s="6"/>
      <c r="O5" s="5"/>
    </row>
    <row r="6" spans="1:15" x14ac:dyDescent="0.2">
      <c r="A6" s="7" t="s">
        <v>18</v>
      </c>
      <c r="B6" s="62"/>
      <c r="C6" s="17">
        <v>1670</v>
      </c>
      <c r="D6" s="5">
        <v>1642</v>
      </c>
      <c r="E6" s="4">
        <v>250</v>
      </c>
      <c r="F6" s="5">
        <v>150</v>
      </c>
      <c r="G6" s="4">
        <v>285</v>
      </c>
      <c r="H6" s="5">
        <v>203.2</v>
      </c>
      <c r="I6" s="40" t="s">
        <v>68</v>
      </c>
      <c r="J6" s="8" t="s">
        <v>66</v>
      </c>
      <c r="K6" s="6">
        <v>1.3759999999999999</v>
      </c>
      <c r="L6" s="5">
        <v>1.3759999999999999</v>
      </c>
      <c r="M6" s="6"/>
      <c r="N6" s="6"/>
      <c r="O6" s="5"/>
    </row>
    <row r="7" spans="1:15" x14ac:dyDescent="0.2">
      <c r="A7" s="7" t="s">
        <v>19</v>
      </c>
      <c r="B7" s="62"/>
      <c r="C7" s="17">
        <v>1670</v>
      </c>
      <c r="D7" s="5">
        <v>1642</v>
      </c>
      <c r="E7" s="4">
        <v>250</v>
      </c>
      <c r="F7" s="5">
        <v>150</v>
      </c>
      <c r="G7" s="4">
        <v>285</v>
      </c>
      <c r="H7" s="5">
        <v>203.2</v>
      </c>
      <c r="I7" s="40" t="s">
        <v>68</v>
      </c>
      <c r="J7" s="8" t="s">
        <v>66</v>
      </c>
      <c r="K7" s="6">
        <v>1.3759999999999999</v>
      </c>
      <c r="L7" s="5">
        <v>1.3759999999999999</v>
      </c>
      <c r="M7" s="6"/>
      <c r="N7" s="6"/>
      <c r="O7" s="5"/>
    </row>
    <row r="8" spans="1:15" x14ac:dyDescent="0.2">
      <c r="A8" s="7" t="s">
        <v>20</v>
      </c>
      <c r="B8" s="62"/>
      <c r="C8" s="17">
        <v>1670</v>
      </c>
      <c r="D8" s="5">
        <v>1742</v>
      </c>
      <c r="E8" s="4">
        <v>250</v>
      </c>
      <c r="F8" s="5">
        <v>150</v>
      </c>
      <c r="G8" s="4">
        <v>285</v>
      </c>
      <c r="H8" s="5">
        <v>203.2</v>
      </c>
      <c r="I8" s="40" t="s">
        <v>68</v>
      </c>
      <c r="J8" s="8" t="s">
        <v>66</v>
      </c>
      <c r="K8" s="6">
        <v>1.387</v>
      </c>
      <c r="L8" s="5">
        <v>1.387</v>
      </c>
      <c r="M8" s="6"/>
      <c r="N8" s="6"/>
      <c r="O8" s="5"/>
    </row>
    <row r="9" spans="1:15" x14ac:dyDescent="0.2">
      <c r="A9" s="7" t="s">
        <v>21</v>
      </c>
      <c r="B9" s="62"/>
      <c r="C9" s="17">
        <v>1772</v>
      </c>
      <c r="D9" s="5">
        <v>1742</v>
      </c>
      <c r="E9" s="4">
        <v>290</v>
      </c>
      <c r="F9" s="5">
        <v>150</v>
      </c>
      <c r="G9" s="4">
        <v>330</v>
      </c>
      <c r="H9" s="5">
        <v>203.2</v>
      </c>
      <c r="I9" s="40" t="s">
        <v>67</v>
      </c>
      <c r="J9" s="8" t="s">
        <v>66</v>
      </c>
      <c r="K9" s="6">
        <v>1.355</v>
      </c>
      <c r="L9" s="5">
        <v>1.387</v>
      </c>
      <c r="M9" s="6"/>
      <c r="N9" s="6"/>
      <c r="O9" s="5"/>
    </row>
    <row r="10" spans="1:15" x14ac:dyDescent="0.2">
      <c r="A10" s="7" t="s">
        <v>22</v>
      </c>
      <c r="B10" s="62"/>
      <c r="C10" s="17">
        <v>1772</v>
      </c>
      <c r="D10" s="5">
        <v>1742</v>
      </c>
      <c r="E10" s="4">
        <v>290</v>
      </c>
      <c r="F10" s="5">
        <v>150</v>
      </c>
      <c r="G10" s="4">
        <v>330</v>
      </c>
      <c r="H10" s="5">
        <v>203.2</v>
      </c>
      <c r="I10" s="40" t="s">
        <v>67</v>
      </c>
      <c r="J10" s="8" t="s">
        <v>66</v>
      </c>
      <c r="K10" s="6">
        <v>1.355</v>
      </c>
      <c r="L10" s="5">
        <v>1.387</v>
      </c>
      <c r="M10" s="6"/>
      <c r="N10" s="6"/>
      <c r="O10" s="5"/>
    </row>
    <row r="11" spans="1:15" x14ac:dyDescent="0.2">
      <c r="A11" s="7" t="s">
        <v>44</v>
      </c>
      <c r="B11" s="62"/>
      <c r="C11" s="17">
        <v>1670</v>
      </c>
      <c r="D11" s="5">
        <v>1670</v>
      </c>
      <c r="E11" s="4">
        <v>250</v>
      </c>
      <c r="F11" s="5">
        <v>150</v>
      </c>
      <c r="G11" s="4">
        <v>285</v>
      </c>
      <c r="H11" s="5">
        <v>203.2</v>
      </c>
      <c r="I11" s="40" t="s">
        <v>68</v>
      </c>
      <c r="J11" s="9" t="s">
        <v>66</v>
      </c>
      <c r="K11" s="6">
        <v>1.377</v>
      </c>
      <c r="L11" s="5">
        <v>1.377</v>
      </c>
      <c r="M11" s="6"/>
      <c r="N11" s="6"/>
      <c r="O11" s="5"/>
    </row>
    <row r="12" spans="1:15" x14ac:dyDescent="0.2">
      <c r="A12" s="7" t="s">
        <v>45</v>
      </c>
      <c r="B12" s="62"/>
      <c r="C12" s="17">
        <v>1670</v>
      </c>
      <c r="D12" s="5">
        <v>1770</v>
      </c>
      <c r="E12" s="4">
        <v>250</v>
      </c>
      <c r="F12" s="5">
        <v>150</v>
      </c>
      <c r="G12" s="4">
        <v>285</v>
      </c>
      <c r="H12" s="5">
        <v>203.2</v>
      </c>
      <c r="I12" s="40" t="s">
        <v>68</v>
      </c>
      <c r="J12" s="9" t="s">
        <v>66</v>
      </c>
      <c r="K12" s="6">
        <v>1.387</v>
      </c>
      <c r="L12" s="5">
        <v>1.365</v>
      </c>
      <c r="M12" s="6"/>
      <c r="N12" s="6"/>
      <c r="O12" s="5"/>
    </row>
    <row r="13" spans="1:15" x14ac:dyDescent="0.2">
      <c r="A13" s="7" t="s">
        <v>46</v>
      </c>
      <c r="B13" s="62"/>
      <c r="C13" s="17">
        <v>1670</v>
      </c>
      <c r="D13" s="5">
        <v>1770</v>
      </c>
      <c r="E13" s="4">
        <v>250</v>
      </c>
      <c r="F13" s="5">
        <v>150</v>
      </c>
      <c r="G13" s="4">
        <v>285</v>
      </c>
      <c r="H13" s="5">
        <v>203.2</v>
      </c>
      <c r="I13" s="40" t="s">
        <v>68</v>
      </c>
      <c r="J13" s="9" t="s">
        <v>66</v>
      </c>
      <c r="K13" s="6">
        <v>1.357</v>
      </c>
      <c r="L13" s="5">
        <v>1.357</v>
      </c>
      <c r="M13" s="6"/>
      <c r="N13" s="6"/>
      <c r="O13" s="5"/>
    </row>
    <row r="14" spans="1:15" x14ac:dyDescent="0.2">
      <c r="A14" s="7" t="s">
        <v>47</v>
      </c>
      <c r="B14" s="62"/>
      <c r="C14" s="17">
        <v>1772</v>
      </c>
      <c r="D14" s="5">
        <v>1770</v>
      </c>
      <c r="E14" s="4">
        <v>290</v>
      </c>
      <c r="F14" s="5">
        <v>150</v>
      </c>
      <c r="G14" s="4">
        <v>330</v>
      </c>
      <c r="H14" s="5">
        <v>203.2</v>
      </c>
      <c r="I14" s="40" t="s">
        <v>67</v>
      </c>
      <c r="J14" s="9" t="s">
        <v>66</v>
      </c>
      <c r="K14" s="6">
        <v>1.357</v>
      </c>
      <c r="L14" s="5">
        <v>1.357</v>
      </c>
      <c r="M14" s="6"/>
      <c r="N14" s="6"/>
      <c r="O14" s="5"/>
    </row>
    <row r="15" spans="1:15" x14ac:dyDescent="0.2">
      <c r="A15" s="7" t="s">
        <v>48</v>
      </c>
      <c r="B15" s="62"/>
      <c r="C15" s="17">
        <v>1772</v>
      </c>
      <c r="D15" s="5">
        <v>1770</v>
      </c>
      <c r="E15" s="4">
        <v>290</v>
      </c>
      <c r="F15" s="5">
        <v>150</v>
      </c>
      <c r="G15" s="4">
        <v>330</v>
      </c>
      <c r="H15" s="5">
        <v>203.2</v>
      </c>
      <c r="I15" s="40" t="s">
        <v>67</v>
      </c>
      <c r="J15" s="9" t="s">
        <v>66</v>
      </c>
      <c r="K15" s="6">
        <v>1.357</v>
      </c>
      <c r="L15" s="5">
        <v>1.357</v>
      </c>
      <c r="M15" s="6"/>
      <c r="N15" s="6"/>
      <c r="O15" s="5"/>
    </row>
    <row r="16" spans="1:15" ht="15" x14ac:dyDescent="0.2">
      <c r="A16" s="7"/>
      <c r="B16" s="62"/>
      <c r="C16" s="17"/>
      <c r="D16" s="5"/>
      <c r="E16" s="4"/>
      <c r="F16" s="5"/>
      <c r="G16" s="4"/>
      <c r="H16" s="5"/>
      <c r="I16" s="41"/>
      <c r="J16" s="9"/>
      <c r="K16" s="6"/>
      <c r="L16" s="5"/>
      <c r="M16" s="6"/>
      <c r="N16" s="6"/>
      <c r="O16" s="5"/>
    </row>
    <row r="17" spans="1:15" x14ac:dyDescent="0.2">
      <c r="A17" s="7" t="s">
        <v>159</v>
      </c>
      <c r="B17" s="62">
        <v>30</v>
      </c>
      <c r="C17" s="17">
        <v>1670</v>
      </c>
      <c r="D17" s="5">
        <v>1670</v>
      </c>
      <c r="E17" s="4">
        <v>250</v>
      </c>
      <c r="F17" s="5">
        <v>150</v>
      </c>
      <c r="G17" s="4">
        <v>285</v>
      </c>
      <c r="H17" s="5">
        <v>203.2</v>
      </c>
      <c r="I17" s="40" t="s">
        <v>68</v>
      </c>
      <c r="J17" s="9" t="s">
        <v>66</v>
      </c>
      <c r="K17" s="6">
        <v>1.377</v>
      </c>
      <c r="L17" s="5">
        <v>1.377</v>
      </c>
      <c r="M17" s="6"/>
      <c r="N17" s="6"/>
      <c r="O17" s="5"/>
    </row>
    <row r="18" spans="1:15" x14ac:dyDescent="0.2">
      <c r="A18" s="7" t="s">
        <v>159</v>
      </c>
      <c r="B18" s="63">
        <v>40</v>
      </c>
      <c r="C18" s="17">
        <v>1670</v>
      </c>
      <c r="D18" s="5">
        <v>1670</v>
      </c>
      <c r="E18" s="4">
        <v>250</v>
      </c>
      <c r="F18" s="5">
        <v>150</v>
      </c>
      <c r="G18" s="4">
        <v>285</v>
      </c>
      <c r="H18" s="5">
        <v>203.2</v>
      </c>
      <c r="I18" s="40" t="s">
        <v>68</v>
      </c>
      <c r="J18" s="9" t="s">
        <v>66</v>
      </c>
      <c r="K18" s="6">
        <v>1.377</v>
      </c>
      <c r="L18" s="5">
        <v>1.377</v>
      </c>
      <c r="M18" s="35"/>
      <c r="N18" s="35"/>
      <c r="O18" s="33"/>
    </row>
    <row r="19" spans="1:15" x14ac:dyDescent="0.2">
      <c r="A19" s="35"/>
      <c r="B19" s="63"/>
      <c r="C19" s="32"/>
      <c r="D19" s="33"/>
      <c r="E19" s="32"/>
      <c r="F19" s="33"/>
      <c r="G19" s="32"/>
      <c r="H19" s="33"/>
      <c r="I19" s="32"/>
      <c r="J19" s="33"/>
      <c r="K19" s="35"/>
      <c r="L19" s="33"/>
      <c r="M19" s="35"/>
      <c r="N19" s="35"/>
      <c r="O19" s="33"/>
    </row>
    <row r="20" spans="1:15" x14ac:dyDescent="0.2">
      <c r="A20" s="7" t="s">
        <v>160</v>
      </c>
      <c r="B20" s="63">
        <v>30</v>
      </c>
      <c r="C20" s="17">
        <v>1670</v>
      </c>
      <c r="D20" s="5">
        <v>1670</v>
      </c>
      <c r="E20" s="4">
        <v>250</v>
      </c>
      <c r="F20" s="5">
        <v>150</v>
      </c>
      <c r="G20" s="4">
        <v>285</v>
      </c>
      <c r="H20" s="5">
        <v>203.2</v>
      </c>
      <c r="I20" s="40" t="s">
        <v>68</v>
      </c>
      <c r="J20" s="9" t="s">
        <v>66</v>
      </c>
      <c r="K20" s="6">
        <v>1.365</v>
      </c>
      <c r="L20" s="5">
        <v>1.365</v>
      </c>
      <c r="M20" s="35">
        <v>11</v>
      </c>
      <c r="N20" s="35"/>
      <c r="O20" s="33"/>
    </row>
    <row r="21" spans="1:15" x14ac:dyDescent="0.2">
      <c r="A21" s="7" t="s">
        <v>160</v>
      </c>
      <c r="B21" s="63">
        <v>40</v>
      </c>
      <c r="C21" s="17">
        <v>1670</v>
      </c>
      <c r="D21" s="5">
        <v>1670</v>
      </c>
      <c r="E21" s="4">
        <v>250</v>
      </c>
      <c r="F21" s="5">
        <v>150</v>
      </c>
      <c r="G21" s="4">
        <v>285</v>
      </c>
      <c r="H21" s="5">
        <v>203.2</v>
      </c>
      <c r="I21" s="40" t="s">
        <v>68</v>
      </c>
      <c r="J21" s="9" t="s">
        <v>66</v>
      </c>
      <c r="K21" s="6">
        <v>1.387</v>
      </c>
      <c r="L21" s="5">
        <v>1.365</v>
      </c>
      <c r="M21" s="35"/>
      <c r="N21" s="35"/>
      <c r="O21" s="33"/>
    </row>
    <row r="22" spans="1:15" x14ac:dyDescent="0.2">
      <c r="A22" s="7" t="s">
        <v>163</v>
      </c>
      <c r="B22" s="63">
        <v>30</v>
      </c>
      <c r="C22" s="17">
        <v>1772</v>
      </c>
      <c r="D22" s="5">
        <v>1770</v>
      </c>
      <c r="E22" s="4">
        <v>290</v>
      </c>
      <c r="F22" s="5">
        <v>150</v>
      </c>
      <c r="G22" s="4">
        <v>330</v>
      </c>
      <c r="H22" s="5">
        <v>203.2</v>
      </c>
      <c r="I22" s="40" t="s">
        <v>67</v>
      </c>
      <c r="J22" s="9" t="s">
        <v>66</v>
      </c>
      <c r="K22" s="6">
        <v>1.357</v>
      </c>
      <c r="L22" s="5">
        <v>1.357</v>
      </c>
      <c r="M22" s="35"/>
      <c r="N22" s="35"/>
      <c r="O22" s="33"/>
    </row>
    <row r="23" spans="1:15" x14ac:dyDescent="0.2">
      <c r="A23" s="7" t="s">
        <v>163</v>
      </c>
      <c r="B23" s="63">
        <v>40</v>
      </c>
      <c r="C23" s="17">
        <v>1772</v>
      </c>
      <c r="D23" s="5">
        <v>1770</v>
      </c>
      <c r="E23" s="4">
        <v>290</v>
      </c>
      <c r="F23" s="5">
        <v>150</v>
      </c>
      <c r="G23" s="4">
        <v>330</v>
      </c>
      <c r="H23" s="5">
        <v>203.2</v>
      </c>
      <c r="I23" s="40" t="s">
        <v>67</v>
      </c>
      <c r="J23" s="9" t="s">
        <v>66</v>
      </c>
      <c r="K23" s="6">
        <v>1.357</v>
      </c>
      <c r="L23" s="5">
        <v>1.357</v>
      </c>
      <c r="M23" s="35"/>
      <c r="N23" s="35"/>
      <c r="O23" s="33"/>
    </row>
    <row r="24" spans="1:15" x14ac:dyDescent="0.2">
      <c r="A24" s="7"/>
      <c r="B24" s="63"/>
      <c r="C24" s="32"/>
      <c r="D24" s="33"/>
      <c r="E24" s="32"/>
      <c r="F24" s="33"/>
      <c r="G24" s="32"/>
      <c r="H24" s="33"/>
      <c r="I24" s="32"/>
      <c r="J24" s="33"/>
      <c r="K24" s="35"/>
      <c r="L24" s="33"/>
      <c r="M24" s="35"/>
      <c r="N24" s="35"/>
      <c r="O24" s="33"/>
    </row>
    <row r="25" spans="1:15" x14ac:dyDescent="0.2">
      <c r="A25" s="35"/>
      <c r="B25" s="63"/>
      <c r="C25" s="32"/>
      <c r="D25" s="33"/>
      <c r="E25" s="32"/>
      <c r="F25" s="33"/>
      <c r="G25" s="32"/>
      <c r="H25" s="33"/>
      <c r="I25" s="32"/>
      <c r="J25" s="33"/>
      <c r="K25" s="35"/>
      <c r="L25" s="33"/>
      <c r="M25" s="35"/>
      <c r="N25" s="35"/>
      <c r="O25" s="33"/>
    </row>
    <row r="26" spans="1:15" x14ac:dyDescent="0.2">
      <c r="A26" s="7" t="s">
        <v>161</v>
      </c>
      <c r="B26" s="63">
        <v>30</v>
      </c>
      <c r="C26" s="17">
        <v>1772</v>
      </c>
      <c r="D26" s="5">
        <v>1770</v>
      </c>
      <c r="E26" s="4">
        <v>290</v>
      </c>
      <c r="F26" s="5">
        <v>150</v>
      </c>
      <c r="G26" s="4">
        <v>330</v>
      </c>
      <c r="H26" s="5">
        <v>203.2</v>
      </c>
      <c r="I26" s="40" t="s">
        <v>67</v>
      </c>
      <c r="J26" s="9" t="s">
        <v>66</v>
      </c>
      <c r="K26" s="6">
        <v>1.357</v>
      </c>
      <c r="L26" s="5">
        <v>1.357</v>
      </c>
      <c r="M26" s="35"/>
      <c r="N26" s="35"/>
      <c r="O26" s="33"/>
    </row>
    <row r="27" spans="1:15" x14ac:dyDescent="0.2">
      <c r="A27" s="7" t="s">
        <v>161</v>
      </c>
      <c r="B27" s="63">
        <v>40</v>
      </c>
      <c r="C27" s="17">
        <v>1772</v>
      </c>
      <c r="D27" s="5">
        <v>1770</v>
      </c>
      <c r="E27" s="4">
        <v>290</v>
      </c>
      <c r="F27" s="5">
        <v>150</v>
      </c>
      <c r="G27" s="4">
        <v>330</v>
      </c>
      <c r="H27" s="5">
        <v>203.2</v>
      </c>
      <c r="I27" s="40" t="s">
        <v>67</v>
      </c>
      <c r="J27" s="9" t="s">
        <v>66</v>
      </c>
      <c r="K27" s="6">
        <v>1.357</v>
      </c>
      <c r="L27" s="5">
        <v>1.357</v>
      </c>
      <c r="M27" s="35"/>
      <c r="N27" s="35"/>
      <c r="O27" s="33"/>
    </row>
    <row r="28" spans="1:15" x14ac:dyDescent="0.2">
      <c r="A28" s="35"/>
      <c r="B28" s="63"/>
      <c r="C28" s="32"/>
      <c r="D28" s="33"/>
      <c r="E28" s="32"/>
      <c r="F28" s="33"/>
      <c r="G28" s="32"/>
      <c r="H28" s="33"/>
      <c r="I28" s="32"/>
      <c r="J28" s="33"/>
      <c r="K28" s="35"/>
      <c r="L28" s="33"/>
      <c r="M28" s="35"/>
      <c r="N28" s="35"/>
      <c r="O28" s="33"/>
    </row>
    <row r="29" spans="1:15" x14ac:dyDescent="0.2">
      <c r="A29" s="7" t="s">
        <v>162</v>
      </c>
      <c r="B29" s="63">
        <v>30</v>
      </c>
      <c r="C29" s="17">
        <v>1772</v>
      </c>
      <c r="D29" s="5">
        <v>1770</v>
      </c>
      <c r="E29" s="4">
        <v>290</v>
      </c>
      <c r="F29" s="5">
        <v>150</v>
      </c>
      <c r="G29" s="4">
        <v>330</v>
      </c>
      <c r="H29" s="5">
        <v>203.2</v>
      </c>
      <c r="I29" s="40" t="s">
        <v>67</v>
      </c>
      <c r="J29" s="9" t="s">
        <v>66</v>
      </c>
      <c r="K29" s="6">
        <v>1.357</v>
      </c>
      <c r="L29" s="5">
        <v>1.357</v>
      </c>
      <c r="M29" s="35"/>
      <c r="N29" s="35"/>
      <c r="O29" s="33"/>
    </row>
    <row r="30" spans="1:15" ht="13.5" thickBot="1" x14ac:dyDescent="0.25">
      <c r="A30" s="58" t="s">
        <v>162</v>
      </c>
      <c r="B30" s="64">
        <v>40</v>
      </c>
      <c r="C30" s="52">
        <v>1772</v>
      </c>
      <c r="D30" s="53">
        <v>1770</v>
      </c>
      <c r="E30" s="59">
        <v>290</v>
      </c>
      <c r="F30" s="53">
        <v>150</v>
      </c>
      <c r="G30" s="59">
        <v>330</v>
      </c>
      <c r="H30" s="53">
        <v>203.2</v>
      </c>
      <c r="I30" s="60" t="s">
        <v>67</v>
      </c>
      <c r="J30" s="56" t="s">
        <v>66</v>
      </c>
      <c r="K30" s="57">
        <v>1.357</v>
      </c>
      <c r="L30" s="53">
        <v>1.357</v>
      </c>
      <c r="M30" s="38"/>
      <c r="N30" s="38"/>
      <c r="O30" s="34"/>
    </row>
  </sheetData>
  <sheetProtection password="D243" sheet="1" objects="1" scenarios="1"/>
  <mergeCells count="2">
    <mergeCell ref="A1:J2"/>
    <mergeCell ref="K1:O2"/>
  </mergeCells>
  <phoneticPr fontId="14" type="noConversion"/>
  <printOptions gridLines="1"/>
  <pageMargins left="0.34" right="0.4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B542-1D7B-4173-9067-9B6B0E5AFE25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O30"/>
  <sheetViews>
    <sheetView topLeftCell="B1" zoomScale="75" workbookViewId="0">
      <selection activeCell="O17" sqref="O17"/>
    </sheetView>
  </sheetViews>
  <sheetFormatPr defaultRowHeight="12.75" x14ac:dyDescent="0.2"/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61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67">
        <v>5030</v>
      </c>
      <c r="B5" s="68"/>
      <c r="C5" s="17" t="s">
        <v>241</v>
      </c>
      <c r="D5" s="5">
        <v>1770</v>
      </c>
      <c r="E5" s="4">
        <v>290</v>
      </c>
      <c r="F5" s="5">
        <v>150</v>
      </c>
      <c r="G5" s="4">
        <v>330</v>
      </c>
      <c r="H5" s="5">
        <v>203.2</v>
      </c>
      <c r="I5" s="40" t="s">
        <v>67</v>
      </c>
      <c r="J5" s="9" t="s">
        <v>66</v>
      </c>
      <c r="K5" s="6"/>
      <c r="L5" s="5">
        <v>1.3620000000000001</v>
      </c>
      <c r="M5" s="6"/>
      <c r="N5" s="6"/>
      <c r="O5" s="5"/>
    </row>
    <row r="6" spans="1:15" x14ac:dyDescent="0.2">
      <c r="A6" s="7">
        <v>5040</v>
      </c>
      <c r="B6" s="62"/>
      <c r="C6" s="17" t="s">
        <v>241</v>
      </c>
      <c r="D6" s="5">
        <v>1770</v>
      </c>
      <c r="E6" s="4">
        <v>290</v>
      </c>
      <c r="F6" s="5">
        <v>150</v>
      </c>
      <c r="G6" s="4">
        <v>330</v>
      </c>
      <c r="H6" s="5">
        <v>203.2</v>
      </c>
      <c r="I6" s="40" t="s">
        <v>67</v>
      </c>
      <c r="J6" s="9" t="s">
        <v>66</v>
      </c>
      <c r="K6" s="6"/>
      <c r="L6" s="5">
        <v>1.3620000000000001</v>
      </c>
      <c r="M6" s="6"/>
      <c r="N6" s="6"/>
      <c r="O6" s="5"/>
    </row>
    <row r="7" spans="1:15" x14ac:dyDescent="0.2">
      <c r="A7" s="7">
        <v>5050</v>
      </c>
      <c r="B7" s="62"/>
      <c r="C7" s="17" t="s">
        <v>241</v>
      </c>
      <c r="D7" s="5">
        <v>1770</v>
      </c>
      <c r="E7" s="4">
        <v>290</v>
      </c>
      <c r="F7" s="5">
        <v>150</v>
      </c>
      <c r="G7" s="4">
        <v>330</v>
      </c>
      <c r="H7" s="5">
        <v>203.2</v>
      </c>
      <c r="I7" s="40" t="s">
        <v>67</v>
      </c>
      <c r="J7" s="9" t="s">
        <v>66</v>
      </c>
      <c r="K7" s="6"/>
      <c r="L7" s="5">
        <v>1.3620000000000001</v>
      </c>
      <c r="M7" s="6"/>
      <c r="N7" s="6"/>
      <c r="O7" s="5"/>
    </row>
    <row r="8" spans="1:15" x14ac:dyDescent="0.2">
      <c r="A8" s="7">
        <v>5060</v>
      </c>
      <c r="B8" s="62"/>
      <c r="C8" s="17" t="s">
        <v>241</v>
      </c>
      <c r="D8" s="5">
        <v>1770</v>
      </c>
      <c r="E8" s="4">
        <v>290</v>
      </c>
      <c r="F8" s="5">
        <v>150</v>
      </c>
      <c r="G8" s="4">
        <v>330</v>
      </c>
      <c r="H8" s="5">
        <v>203.2</v>
      </c>
      <c r="I8" s="40" t="s">
        <v>67</v>
      </c>
      <c r="J8" s="9" t="s">
        <v>66</v>
      </c>
      <c r="K8" s="6"/>
      <c r="L8" s="5">
        <v>1.3620000000000001</v>
      </c>
      <c r="M8" s="6"/>
      <c r="N8" s="6"/>
      <c r="O8" s="5"/>
    </row>
    <row r="9" spans="1:15" x14ac:dyDescent="0.2">
      <c r="A9" s="7"/>
      <c r="B9" s="62"/>
      <c r="C9" s="17"/>
      <c r="D9" s="5"/>
      <c r="E9" s="4"/>
      <c r="F9" s="5"/>
      <c r="G9" s="4"/>
      <c r="H9" s="5"/>
      <c r="I9" s="40"/>
      <c r="J9" s="8"/>
      <c r="K9" s="6"/>
      <c r="L9" s="5"/>
      <c r="M9" s="6"/>
      <c r="N9" s="6"/>
      <c r="O9" s="5"/>
    </row>
    <row r="10" spans="1:15" x14ac:dyDescent="0.2">
      <c r="A10" s="7"/>
      <c r="B10" s="62"/>
      <c r="C10" s="17"/>
      <c r="D10" s="5"/>
      <c r="E10" s="4"/>
      <c r="F10" s="5"/>
      <c r="G10" s="4"/>
      <c r="H10" s="5"/>
      <c r="I10" s="40"/>
      <c r="J10" s="8"/>
      <c r="K10" s="6"/>
      <c r="L10" s="5"/>
      <c r="M10" s="6"/>
      <c r="N10" s="6"/>
      <c r="O10" s="5"/>
    </row>
    <row r="11" spans="1:15" x14ac:dyDescent="0.2">
      <c r="A11" s="7"/>
      <c r="B11" s="62"/>
      <c r="C11" s="17"/>
      <c r="D11" s="5"/>
      <c r="E11" s="4"/>
      <c r="F11" s="5"/>
      <c r="G11" s="4"/>
      <c r="H11" s="5"/>
      <c r="I11" s="40"/>
      <c r="J11" s="9"/>
      <c r="K11" s="6"/>
      <c r="L11" s="5"/>
      <c r="M11" s="6"/>
      <c r="N11" s="6"/>
      <c r="O11" s="5"/>
    </row>
    <row r="12" spans="1:15" x14ac:dyDescent="0.2">
      <c r="A12" s="7"/>
      <c r="B12" s="62"/>
      <c r="C12" s="17"/>
      <c r="D12" s="5"/>
      <c r="E12" s="4"/>
      <c r="F12" s="5"/>
      <c r="G12" s="4"/>
      <c r="H12" s="5"/>
      <c r="I12" s="40"/>
      <c r="J12" s="9"/>
      <c r="K12" s="6"/>
      <c r="L12" s="5"/>
      <c r="M12" s="6"/>
      <c r="N12" s="6"/>
      <c r="O12" s="5"/>
    </row>
    <row r="13" spans="1:15" x14ac:dyDescent="0.2">
      <c r="A13" s="7"/>
      <c r="B13" s="62"/>
      <c r="C13" s="17"/>
      <c r="D13" s="5"/>
      <c r="E13" s="4"/>
      <c r="F13" s="5"/>
      <c r="G13" s="4"/>
      <c r="H13" s="5"/>
      <c r="I13" s="40"/>
      <c r="J13" s="9"/>
      <c r="K13" s="6"/>
      <c r="L13" s="5"/>
      <c r="M13" s="6"/>
      <c r="N13" s="6"/>
      <c r="O13" s="5"/>
    </row>
    <row r="14" spans="1:15" x14ac:dyDescent="0.2">
      <c r="A14" s="7"/>
      <c r="B14" s="62"/>
      <c r="C14" s="17"/>
      <c r="D14" s="5"/>
      <c r="E14" s="4"/>
      <c r="F14" s="5"/>
      <c r="G14" s="4"/>
      <c r="H14" s="5"/>
      <c r="I14" s="40"/>
      <c r="J14" s="9"/>
      <c r="K14" s="6"/>
      <c r="L14" s="5"/>
      <c r="M14" s="6"/>
      <c r="N14" s="6"/>
      <c r="O14" s="5"/>
    </row>
    <row r="15" spans="1:15" x14ac:dyDescent="0.2">
      <c r="A15" s="7"/>
      <c r="B15" s="62"/>
      <c r="C15" s="17"/>
      <c r="D15" s="5"/>
      <c r="E15" s="4"/>
      <c r="F15" s="5"/>
      <c r="G15" s="4"/>
      <c r="H15" s="5"/>
      <c r="I15" s="40"/>
      <c r="J15" s="9"/>
      <c r="K15" s="6"/>
      <c r="L15" s="5"/>
      <c r="M15" s="6"/>
      <c r="N15" s="6"/>
      <c r="O15" s="5"/>
    </row>
    <row r="16" spans="1:15" ht="15" x14ac:dyDescent="0.2">
      <c r="A16" s="7"/>
      <c r="B16" s="62"/>
      <c r="C16" s="17"/>
      <c r="D16" s="5"/>
      <c r="E16" s="4"/>
      <c r="F16" s="5"/>
      <c r="G16" s="4"/>
      <c r="H16" s="5"/>
      <c r="I16" s="41"/>
      <c r="J16" s="9"/>
      <c r="K16" s="6"/>
      <c r="L16" s="5"/>
      <c r="M16" s="6"/>
      <c r="N16" s="6"/>
      <c r="O16" s="5"/>
    </row>
    <row r="17" spans="1:15" x14ac:dyDescent="0.2">
      <c r="A17" s="7"/>
      <c r="B17" s="62"/>
      <c r="C17" s="17"/>
      <c r="D17" s="5"/>
      <c r="E17" s="4"/>
      <c r="F17" s="5"/>
      <c r="G17" s="4"/>
      <c r="H17" s="5"/>
      <c r="I17" s="40"/>
      <c r="K17" s="6"/>
      <c r="L17" s="5"/>
      <c r="M17" s="6"/>
      <c r="N17" s="6"/>
      <c r="O17" s="5"/>
    </row>
    <row r="18" spans="1:15" x14ac:dyDescent="0.2">
      <c r="A18" s="7"/>
      <c r="B18" s="63"/>
      <c r="C18" s="17"/>
      <c r="D18" s="5"/>
      <c r="E18" s="4"/>
      <c r="F18" s="5"/>
      <c r="G18" s="4"/>
      <c r="H18" s="5"/>
      <c r="I18" s="40"/>
      <c r="J18" s="9"/>
      <c r="K18" s="6"/>
      <c r="L18" s="5"/>
      <c r="M18" s="35"/>
      <c r="N18" s="35"/>
      <c r="O18" s="33"/>
    </row>
    <row r="19" spans="1:15" x14ac:dyDescent="0.2">
      <c r="A19" s="35"/>
      <c r="B19" s="63"/>
      <c r="C19" s="32"/>
      <c r="D19" s="33"/>
      <c r="E19" s="32"/>
      <c r="F19" s="33"/>
      <c r="G19" s="32"/>
      <c r="H19" s="33"/>
      <c r="I19" s="32"/>
      <c r="J19" s="33"/>
      <c r="K19" s="35"/>
      <c r="L19" s="33"/>
      <c r="M19" s="35"/>
      <c r="N19" s="35"/>
      <c r="O19" s="33"/>
    </row>
    <row r="20" spans="1:15" x14ac:dyDescent="0.2">
      <c r="A20" s="7"/>
      <c r="B20" s="63"/>
      <c r="C20" s="17"/>
      <c r="D20" s="5"/>
      <c r="E20" s="4"/>
      <c r="F20" s="5"/>
      <c r="G20" s="4"/>
      <c r="H20" s="5"/>
      <c r="I20" s="40"/>
      <c r="J20" s="9"/>
      <c r="K20" s="6"/>
      <c r="L20" s="5"/>
      <c r="M20" s="35"/>
      <c r="N20" s="35"/>
      <c r="O20" s="33"/>
    </row>
    <row r="21" spans="1:15" x14ac:dyDescent="0.2">
      <c r="A21" s="7"/>
      <c r="B21" s="63"/>
      <c r="C21" s="17"/>
      <c r="D21" s="5"/>
      <c r="E21" s="4"/>
      <c r="F21" s="5"/>
      <c r="G21" s="4"/>
      <c r="H21" s="5"/>
      <c r="I21" s="40"/>
      <c r="J21" s="9"/>
      <c r="K21" s="6"/>
      <c r="L21" s="5"/>
      <c r="M21" s="35"/>
      <c r="N21" s="35"/>
      <c r="O21" s="33"/>
    </row>
    <row r="22" spans="1:15" x14ac:dyDescent="0.2">
      <c r="A22" s="7"/>
      <c r="B22" s="63"/>
      <c r="C22" s="17"/>
      <c r="D22" s="5"/>
      <c r="E22" s="4"/>
      <c r="F22" s="5"/>
      <c r="G22" s="4"/>
      <c r="H22" s="5"/>
      <c r="I22" s="40"/>
      <c r="J22" s="9"/>
      <c r="K22" s="6"/>
      <c r="L22" s="5"/>
      <c r="M22" s="35"/>
      <c r="N22" s="35"/>
      <c r="O22" s="33"/>
    </row>
    <row r="23" spans="1:15" x14ac:dyDescent="0.2">
      <c r="A23" s="7"/>
      <c r="B23" s="63"/>
      <c r="C23" s="17"/>
      <c r="D23" s="5"/>
      <c r="E23" s="4"/>
      <c r="F23" s="5"/>
      <c r="G23" s="4"/>
      <c r="H23" s="5"/>
      <c r="I23" s="40"/>
      <c r="J23" s="9"/>
      <c r="K23" s="6"/>
      <c r="L23" s="5"/>
      <c r="M23" s="35"/>
      <c r="N23" s="35"/>
      <c r="O23" s="33"/>
    </row>
    <row r="24" spans="1:15" x14ac:dyDescent="0.2">
      <c r="A24" s="7"/>
      <c r="B24" s="63"/>
      <c r="C24" s="32"/>
      <c r="D24" s="33"/>
      <c r="E24" s="32"/>
      <c r="F24" s="33"/>
      <c r="G24" s="32"/>
      <c r="H24" s="33"/>
      <c r="I24" s="32"/>
      <c r="J24" s="33"/>
      <c r="K24" s="35"/>
      <c r="L24" s="33"/>
      <c r="M24" s="35"/>
      <c r="N24" s="35"/>
      <c r="O24" s="33"/>
    </row>
    <row r="25" spans="1:15" x14ac:dyDescent="0.2">
      <c r="A25" s="35"/>
      <c r="B25" s="63"/>
      <c r="C25" s="32"/>
      <c r="D25" s="33"/>
      <c r="E25" s="32"/>
      <c r="F25" s="33"/>
      <c r="G25" s="32"/>
      <c r="H25" s="33"/>
      <c r="I25" s="32"/>
      <c r="J25" s="33"/>
      <c r="K25" s="35"/>
      <c r="L25" s="33"/>
      <c r="M25" s="35"/>
      <c r="N25" s="35"/>
      <c r="O25" s="33"/>
    </row>
    <row r="26" spans="1:15" x14ac:dyDescent="0.2">
      <c r="A26" s="7"/>
      <c r="B26" s="63"/>
      <c r="C26" s="17"/>
      <c r="D26" s="5"/>
      <c r="E26" s="4"/>
      <c r="F26" s="5"/>
      <c r="G26" s="4"/>
      <c r="H26" s="5"/>
      <c r="I26" s="40"/>
      <c r="J26" s="9"/>
      <c r="K26" s="6"/>
      <c r="L26" s="5"/>
      <c r="M26" s="35"/>
      <c r="N26" s="35"/>
      <c r="O26" s="33"/>
    </row>
    <row r="27" spans="1:15" x14ac:dyDescent="0.2">
      <c r="A27" s="7"/>
      <c r="B27" s="63"/>
      <c r="C27" s="17"/>
      <c r="D27" s="5"/>
      <c r="E27" s="4"/>
      <c r="F27" s="5"/>
      <c r="G27" s="4"/>
      <c r="H27" s="5"/>
      <c r="I27" s="40"/>
      <c r="J27" s="9"/>
      <c r="K27" s="6"/>
      <c r="L27" s="5"/>
      <c r="M27" s="35"/>
      <c r="N27" s="35"/>
      <c r="O27" s="33"/>
    </row>
    <row r="28" spans="1:15" x14ac:dyDescent="0.2">
      <c r="A28" s="35"/>
      <c r="B28" s="63"/>
      <c r="C28" s="32"/>
      <c r="D28" s="33"/>
      <c r="E28" s="32"/>
      <c r="F28" s="33"/>
      <c r="G28" s="32"/>
      <c r="H28" s="33"/>
      <c r="I28" s="32"/>
      <c r="J28" s="33"/>
      <c r="K28" s="35"/>
      <c r="L28" s="33"/>
      <c r="M28" s="35"/>
      <c r="N28" s="35"/>
      <c r="O28" s="33"/>
    </row>
    <row r="29" spans="1:15" x14ac:dyDescent="0.2">
      <c r="A29" s="7"/>
      <c r="B29" s="63"/>
      <c r="C29" s="17"/>
      <c r="D29" s="5"/>
      <c r="E29" s="4"/>
      <c r="F29" s="5"/>
      <c r="G29" s="4"/>
      <c r="H29" s="5"/>
      <c r="I29" s="40"/>
      <c r="J29" s="9"/>
      <c r="K29" s="6"/>
      <c r="L29" s="5"/>
      <c r="M29" s="35"/>
      <c r="N29" s="35"/>
      <c r="O29" s="33"/>
    </row>
    <row r="30" spans="1:15" ht="13.5" thickBot="1" x14ac:dyDescent="0.25">
      <c r="A30" s="58"/>
      <c r="B30" s="64"/>
      <c r="C30" s="52"/>
      <c r="D30" s="53"/>
      <c r="E30" s="59"/>
      <c r="F30" s="53"/>
      <c r="G30" s="59"/>
      <c r="H30" s="53"/>
      <c r="I30" s="60"/>
      <c r="J30" s="56"/>
      <c r="K30" s="57"/>
      <c r="L30" s="53"/>
      <c r="M30" s="38"/>
      <c r="N30" s="38"/>
      <c r="O30" s="34"/>
    </row>
  </sheetData>
  <sheetProtection password="D243" sheet="1" objects="1" scenarios="1"/>
  <mergeCells count="2">
    <mergeCell ref="A1:J2"/>
    <mergeCell ref="K1:O2"/>
  </mergeCells>
  <phoneticPr fontId="14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O10"/>
  <sheetViews>
    <sheetView workbookViewId="0">
      <selection activeCell="Q17" sqref="Q17"/>
    </sheetView>
  </sheetViews>
  <sheetFormatPr defaultRowHeight="12.75" x14ac:dyDescent="0.2"/>
  <cols>
    <col min="2" max="2" width="4.7109375" customWidth="1"/>
    <col min="3" max="3" width="6.5703125" customWidth="1"/>
    <col min="7" max="7" width="7" customWidth="1"/>
    <col min="15" max="15" width="11.710937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391</v>
      </c>
      <c r="C3" s="28" t="s">
        <v>3</v>
      </c>
      <c r="D3" s="199"/>
      <c r="E3" s="27" t="s">
        <v>4</v>
      </c>
      <c r="F3" s="199"/>
      <c r="G3" s="27" t="s">
        <v>5</v>
      </c>
      <c r="H3" s="199"/>
      <c r="I3" s="30" t="s">
        <v>6</v>
      </c>
      <c r="J3" s="199"/>
      <c r="K3" s="26" t="s">
        <v>7</v>
      </c>
      <c r="L3" s="26"/>
      <c r="M3" s="26"/>
      <c r="N3" s="27"/>
      <c r="O3" s="26"/>
    </row>
    <row r="4" spans="1:15" ht="13.5" thickBot="1" x14ac:dyDescent="0.25">
      <c r="A4" s="204"/>
      <c r="B4" s="205"/>
      <c r="C4" s="206" t="s">
        <v>11</v>
      </c>
      <c r="D4" s="199" t="s">
        <v>12</v>
      </c>
      <c r="E4" s="207" t="s">
        <v>11</v>
      </c>
      <c r="F4" s="199" t="s">
        <v>12</v>
      </c>
      <c r="G4" s="207" t="s">
        <v>11</v>
      </c>
      <c r="H4" s="199" t="s">
        <v>12</v>
      </c>
      <c r="I4" s="206" t="s">
        <v>11</v>
      </c>
      <c r="J4" s="199" t="s">
        <v>12</v>
      </c>
      <c r="K4" s="204"/>
      <c r="L4" s="3"/>
      <c r="M4" s="31"/>
      <c r="N4" s="31"/>
      <c r="O4" s="3"/>
    </row>
    <row r="5" spans="1:15" x14ac:dyDescent="0.2">
      <c r="A5" s="200" t="s">
        <v>385</v>
      </c>
      <c r="B5" s="200" t="s">
        <v>392</v>
      </c>
      <c r="C5" s="201" t="s">
        <v>398</v>
      </c>
      <c r="D5" s="202">
        <v>1566</v>
      </c>
      <c r="E5" s="202">
        <v>250</v>
      </c>
      <c r="F5" s="202">
        <v>150</v>
      </c>
      <c r="G5" s="202">
        <v>285</v>
      </c>
      <c r="H5" s="202">
        <v>203.2</v>
      </c>
      <c r="I5" s="201" t="s">
        <v>68</v>
      </c>
      <c r="J5" s="203" t="s">
        <v>66</v>
      </c>
      <c r="K5" s="202">
        <v>1.369</v>
      </c>
      <c r="L5" s="5"/>
      <c r="M5" s="6"/>
      <c r="N5" s="6"/>
      <c r="O5" s="6"/>
    </row>
    <row r="6" spans="1:15" x14ac:dyDescent="0.2">
      <c r="A6" s="195" t="s">
        <v>386</v>
      </c>
      <c r="B6" s="195" t="s">
        <v>392</v>
      </c>
      <c r="C6" s="196" t="s">
        <v>398</v>
      </c>
      <c r="D6" s="197">
        <v>1566</v>
      </c>
      <c r="E6" s="197">
        <v>250</v>
      </c>
      <c r="F6" s="197">
        <v>150</v>
      </c>
      <c r="G6" s="197">
        <v>285</v>
      </c>
      <c r="H6" s="197">
        <v>203.2</v>
      </c>
      <c r="I6" s="196" t="s">
        <v>68</v>
      </c>
      <c r="J6" s="198" t="s">
        <v>66</v>
      </c>
      <c r="K6" s="197">
        <v>1.369</v>
      </c>
      <c r="L6" s="5"/>
      <c r="M6" s="6"/>
      <c r="N6" s="6"/>
      <c r="O6" s="6"/>
    </row>
    <row r="7" spans="1:15" ht="13.5" thickBot="1" x14ac:dyDescent="0.25">
      <c r="A7" s="195" t="s">
        <v>387</v>
      </c>
      <c r="B7" s="195" t="s">
        <v>393</v>
      </c>
      <c r="C7" s="196" t="s">
        <v>399</v>
      </c>
      <c r="D7" s="197">
        <v>1664</v>
      </c>
      <c r="E7" s="197">
        <v>290</v>
      </c>
      <c r="F7" s="197">
        <v>150</v>
      </c>
      <c r="G7" s="197">
        <v>330</v>
      </c>
      <c r="H7" s="197">
        <v>203.2</v>
      </c>
      <c r="I7" s="198" t="s">
        <v>67</v>
      </c>
      <c r="J7" s="198" t="s">
        <v>66</v>
      </c>
      <c r="K7" s="197">
        <v>1.3779999999999999</v>
      </c>
      <c r="L7" s="53"/>
      <c r="M7" s="57"/>
      <c r="N7" s="59"/>
      <c r="O7" s="57"/>
    </row>
    <row r="8" spans="1:15" x14ac:dyDescent="0.2">
      <c r="A8" s="195" t="s">
        <v>388</v>
      </c>
      <c r="B8" s="195" t="s">
        <v>393</v>
      </c>
      <c r="C8" s="196" t="s">
        <v>399</v>
      </c>
      <c r="D8" s="197">
        <v>1664</v>
      </c>
      <c r="E8" s="197">
        <v>290</v>
      </c>
      <c r="F8" s="197">
        <v>150</v>
      </c>
      <c r="G8" s="197">
        <v>330</v>
      </c>
      <c r="H8" s="197">
        <v>203.2</v>
      </c>
      <c r="I8" s="198" t="s">
        <v>67</v>
      </c>
      <c r="J8" s="198" t="s">
        <v>66</v>
      </c>
      <c r="K8" s="197">
        <v>1.3979999999999999</v>
      </c>
    </row>
    <row r="9" spans="1:15" x14ac:dyDescent="0.2">
      <c r="A9" s="195" t="s">
        <v>389</v>
      </c>
      <c r="B9" s="195" t="s">
        <v>393</v>
      </c>
      <c r="C9" s="196" t="s">
        <v>399</v>
      </c>
      <c r="D9" s="197">
        <v>1664</v>
      </c>
      <c r="E9" s="197">
        <v>290</v>
      </c>
      <c r="F9" s="197">
        <v>150</v>
      </c>
      <c r="G9" s="197">
        <v>330</v>
      </c>
      <c r="H9" s="197">
        <v>203.2</v>
      </c>
      <c r="I9" s="198" t="s">
        <v>67</v>
      </c>
      <c r="J9" s="198" t="s">
        <v>66</v>
      </c>
      <c r="K9" s="197">
        <v>1.3440000000000001</v>
      </c>
    </row>
    <row r="10" spans="1:15" x14ac:dyDescent="0.2">
      <c r="A10" s="195" t="s">
        <v>390</v>
      </c>
      <c r="B10" s="195" t="s">
        <v>393</v>
      </c>
      <c r="C10" s="196" t="s">
        <v>399</v>
      </c>
      <c r="D10" s="197">
        <v>1664</v>
      </c>
      <c r="E10" s="197">
        <v>290</v>
      </c>
      <c r="F10" s="197">
        <v>150</v>
      </c>
      <c r="G10" s="197">
        <v>330</v>
      </c>
      <c r="H10" s="197">
        <v>203.2</v>
      </c>
      <c r="I10" s="198" t="s">
        <v>67</v>
      </c>
      <c r="J10" s="198" t="s">
        <v>66</v>
      </c>
      <c r="K10" s="197">
        <v>1.3440000000000001</v>
      </c>
    </row>
  </sheetData>
  <sheetProtection password="D243" sheet="1" objects="1" scenarios="1"/>
  <mergeCells count="2">
    <mergeCell ref="A1:J2"/>
    <mergeCell ref="K1:O2"/>
  </mergeCells>
  <printOptions gridLines="1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O30"/>
  <sheetViews>
    <sheetView zoomScale="75" workbookViewId="0">
      <selection activeCell="I26" sqref="I26"/>
    </sheetView>
  </sheetViews>
  <sheetFormatPr defaultRowHeight="12.75" x14ac:dyDescent="0.2"/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x14ac:dyDescent="0.2">
      <c r="A4" s="31"/>
      <c r="B4" s="194"/>
      <c r="C4" s="72" t="s">
        <v>11</v>
      </c>
      <c r="D4" s="3" t="s">
        <v>12</v>
      </c>
      <c r="E4" s="73" t="s">
        <v>11</v>
      </c>
      <c r="F4" s="3" t="s">
        <v>12</v>
      </c>
      <c r="G4" s="73" t="s">
        <v>11</v>
      </c>
      <c r="H4" s="3" t="s">
        <v>12</v>
      </c>
      <c r="I4" s="74" t="s">
        <v>11</v>
      </c>
      <c r="J4" s="3" t="s">
        <v>12</v>
      </c>
      <c r="K4" s="31"/>
      <c r="L4" s="3"/>
      <c r="M4" s="31"/>
      <c r="N4" s="31"/>
      <c r="O4" s="3"/>
    </row>
    <row r="5" spans="1:15" x14ac:dyDescent="0.2">
      <c r="A5" s="195" t="s">
        <v>394</v>
      </c>
      <c r="B5" s="208">
        <v>40</v>
      </c>
      <c r="C5" s="196" t="s">
        <v>241</v>
      </c>
      <c r="D5" s="197">
        <v>1770</v>
      </c>
      <c r="E5" s="197">
        <v>290</v>
      </c>
      <c r="F5" s="197">
        <v>221</v>
      </c>
      <c r="G5" s="197">
        <v>330</v>
      </c>
      <c r="H5" s="197">
        <v>275</v>
      </c>
      <c r="I5" s="198" t="s">
        <v>67</v>
      </c>
      <c r="J5" s="198" t="s">
        <v>66</v>
      </c>
      <c r="K5" s="197"/>
      <c r="L5" s="197">
        <v>1.3620000000000001</v>
      </c>
      <c r="M5" s="5"/>
      <c r="N5" s="6"/>
      <c r="O5" s="5"/>
    </row>
    <row r="6" spans="1:15" x14ac:dyDescent="0.2">
      <c r="A6" s="195" t="s">
        <v>395</v>
      </c>
      <c r="B6" s="208">
        <v>40</v>
      </c>
      <c r="C6" s="196" t="s">
        <v>241</v>
      </c>
      <c r="D6" s="197">
        <v>1770</v>
      </c>
      <c r="E6" s="197">
        <v>290</v>
      </c>
      <c r="F6" s="197">
        <v>221</v>
      </c>
      <c r="G6" s="197">
        <v>330</v>
      </c>
      <c r="H6" s="197">
        <v>275</v>
      </c>
      <c r="I6" s="198" t="s">
        <v>67</v>
      </c>
      <c r="J6" s="198" t="s">
        <v>66</v>
      </c>
      <c r="K6" s="197"/>
      <c r="L6" s="197">
        <v>1.3620000000000001</v>
      </c>
      <c r="M6" s="5"/>
      <c r="N6" s="6"/>
      <c r="O6" s="5"/>
    </row>
    <row r="7" spans="1:15" x14ac:dyDescent="0.2">
      <c r="A7" s="195" t="s">
        <v>396</v>
      </c>
      <c r="B7" s="208">
        <v>40</v>
      </c>
      <c r="C7" s="196" t="s">
        <v>241</v>
      </c>
      <c r="D7" s="197">
        <v>1770</v>
      </c>
      <c r="E7" s="197">
        <v>290</v>
      </c>
      <c r="F7" s="197">
        <v>221</v>
      </c>
      <c r="G7" s="197">
        <v>330</v>
      </c>
      <c r="H7" s="197">
        <v>275</v>
      </c>
      <c r="I7" s="198" t="s">
        <v>67</v>
      </c>
      <c r="J7" s="198" t="s">
        <v>66</v>
      </c>
      <c r="K7" s="197"/>
      <c r="L7" s="197">
        <v>1.3620000000000001</v>
      </c>
      <c r="M7" s="5"/>
      <c r="N7" s="6"/>
      <c r="O7" s="5"/>
    </row>
    <row r="8" spans="1:15" x14ac:dyDescent="0.2">
      <c r="A8" s="7"/>
      <c r="B8" s="62"/>
      <c r="C8" s="17"/>
      <c r="D8" s="5"/>
      <c r="E8" s="4"/>
      <c r="F8" s="5"/>
      <c r="G8" s="4"/>
      <c r="H8" s="5"/>
      <c r="I8" s="40"/>
      <c r="J8" s="9"/>
      <c r="K8" s="6"/>
      <c r="L8" s="5"/>
      <c r="M8" s="6"/>
      <c r="N8" s="6"/>
      <c r="O8" s="5"/>
    </row>
    <row r="9" spans="1:15" x14ac:dyDescent="0.2">
      <c r="A9" s="7"/>
      <c r="B9" s="62"/>
      <c r="C9" s="17"/>
      <c r="D9" s="5"/>
      <c r="E9" s="4"/>
      <c r="F9" s="5"/>
      <c r="G9" s="4"/>
      <c r="H9" s="5"/>
      <c r="I9" s="40"/>
      <c r="J9" s="8"/>
      <c r="K9" s="6"/>
      <c r="L9" s="5"/>
      <c r="M9" s="6"/>
      <c r="N9" s="6"/>
      <c r="O9" s="5"/>
    </row>
    <row r="10" spans="1:15" x14ac:dyDescent="0.2">
      <c r="A10" s="195" t="s">
        <v>394</v>
      </c>
      <c r="B10" s="197" t="s">
        <v>397</v>
      </c>
      <c r="C10" s="196" t="s">
        <v>241</v>
      </c>
      <c r="D10" s="197">
        <v>1770</v>
      </c>
      <c r="E10" s="197">
        <v>290</v>
      </c>
      <c r="F10" s="197">
        <v>221</v>
      </c>
      <c r="G10" s="197">
        <v>330</v>
      </c>
      <c r="H10" s="197">
        <v>275</v>
      </c>
      <c r="I10" s="198" t="s">
        <v>67</v>
      </c>
      <c r="J10" s="198" t="s">
        <v>66</v>
      </c>
      <c r="K10" s="197"/>
      <c r="L10" s="197">
        <v>1.3781000000000001</v>
      </c>
      <c r="M10" s="5"/>
      <c r="N10" s="6"/>
      <c r="O10" s="5"/>
    </row>
    <row r="11" spans="1:15" x14ac:dyDescent="0.2">
      <c r="A11" s="195" t="s">
        <v>395</v>
      </c>
      <c r="B11" s="197" t="s">
        <v>397</v>
      </c>
      <c r="C11" s="196" t="s">
        <v>241</v>
      </c>
      <c r="D11" s="197">
        <v>1770</v>
      </c>
      <c r="E11" s="197">
        <v>290</v>
      </c>
      <c r="F11" s="197">
        <v>221</v>
      </c>
      <c r="G11" s="197">
        <v>330</v>
      </c>
      <c r="H11" s="197">
        <v>275</v>
      </c>
      <c r="I11" s="198" t="s">
        <v>67</v>
      </c>
      <c r="J11" s="198" t="s">
        <v>66</v>
      </c>
      <c r="K11" s="197"/>
      <c r="L11" s="197">
        <v>1.3781000000000001</v>
      </c>
      <c r="M11" s="5"/>
      <c r="N11" s="6"/>
      <c r="O11" s="5"/>
    </row>
    <row r="12" spans="1:15" x14ac:dyDescent="0.2">
      <c r="A12" s="195" t="s">
        <v>396</v>
      </c>
      <c r="B12" s="197" t="s">
        <v>397</v>
      </c>
      <c r="C12" s="196" t="s">
        <v>241</v>
      </c>
      <c r="D12" s="197">
        <v>1770</v>
      </c>
      <c r="E12" s="197">
        <v>290</v>
      </c>
      <c r="F12" s="197">
        <v>221</v>
      </c>
      <c r="G12" s="197">
        <v>330</v>
      </c>
      <c r="H12" s="197">
        <v>275</v>
      </c>
      <c r="I12" s="198" t="s">
        <v>67</v>
      </c>
      <c r="J12" s="198" t="s">
        <v>66</v>
      </c>
      <c r="K12" s="197"/>
      <c r="L12" s="197">
        <v>1.3781000000000001</v>
      </c>
      <c r="M12" s="5"/>
      <c r="N12" s="6"/>
      <c r="O12" s="5"/>
    </row>
    <row r="13" spans="1:15" x14ac:dyDescent="0.2">
      <c r="A13" s="7"/>
      <c r="B13" s="62"/>
      <c r="C13" s="17"/>
      <c r="D13" s="5"/>
      <c r="E13" s="4"/>
      <c r="F13" s="5"/>
      <c r="G13" s="4"/>
      <c r="H13" s="5"/>
      <c r="I13" s="40"/>
      <c r="J13" s="9"/>
      <c r="K13" s="6"/>
      <c r="L13" s="5"/>
      <c r="M13" s="6"/>
      <c r="N13" s="6"/>
      <c r="O13" s="5"/>
    </row>
    <row r="14" spans="1:15" x14ac:dyDescent="0.2">
      <c r="A14" s="7"/>
      <c r="B14" s="62"/>
      <c r="C14" s="17"/>
      <c r="D14" s="5"/>
      <c r="E14" s="4"/>
      <c r="F14" s="5"/>
      <c r="G14" s="4"/>
      <c r="H14" s="5"/>
      <c r="I14" s="40"/>
      <c r="J14" s="9"/>
      <c r="K14" s="6"/>
      <c r="L14" s="5"/>
      <c r="M14" s="6"/>
      <c r="N14" s="6"/>
      <c r="O14" s="5"/>
    </row>
    <row r="15" spans="1:15" x14ac:dyDescent="0.2">
      <c r="A15" s="7"/>
      <c r="B15" s="62"/>
      <c r="C15" s="17"/>
      <c r="D15" s="5"/>
      <c r="E15" s="4"/>
      <c r="F15" s="5"/>
      <c r="G15" s="4"/>
      <c r="H15" s="5"/>
      <c r="I15" s="40"/>
      <c r="J15" s="9"/>
      <c r="K15" s="6"/>
      <c r="L15" s="5"/>
      <c r="M15" s="6"/>
      <c r="N15" s="6"/>
      <c r="O15" s="5"/>
    </row>
    <row r="16" spans="1:15" x14ac:dyDescent="0.2">
      <c r="A16" s="195" t="s">
        <v>394</v>
      </c>
      <c r="B16" s="197" t="s">
        <v>397</v>
      </c>
      <c r="C16" s="196"/>
      <c r="D16" s="197">
        <v>1770</v>
      </c>
      <c r="E16" s="197"/>
      <c r="F16" s="197">
        <v>150</v>
      </c>
      <c r="G16" s="197"/>
      <c r="H16" s="197">
        <v>203.2</v>
      </c>
      <c r="I16" s="198"/>
      <c r="J16" s="198" t="s">
        <v>66</v>
      </c>
      <c r="K16" s="197"/>
      <c r="L16" s="197">
        <v>1.3781000000000001</v>
      </c>
      <c r="M16" s="5"/>
      <c r="N16" s="6"/>
      <c r="O16" s="5"/>
    </row>
    <row r="17" spans="1:15" x14ac:dyDescent="0.2">
      <c r="A17" s="195" t="s">
        <v>395</v>
      </c>
      <c r="B17" s="197" t="s">
        <v>397</v>
      </c>
      <c r="C17" s="196"/>
      <c r="D17" s="197">
        <v>1770</v>
      </c>
      <c r="E17" s="197"/>
      <c r="F17" s="197">
        <v>150</v>
      </c>
      <c r="G17" s="197"/>
      <c r="H17" s="197">
        <v>203.2</v>
      </c>
      <c r="I17" s="198"/>
      <c r="J17" s="198" t="s">
        <v>66</v>
      </c>
      <c r="K17" s="197"/>
      <c r="L17" s="197">
        <v>1.3781000000000001</v>
      </c>
      <c r="M17" s="5"/>
      <c r="N17" s="6"/>
      <c r="O17" s="5"/>
    </row>
    <row r="18" spans="1:15" x14ac:dyDescent="0.2">
      <c r="A18" s="195" t="s">
        <v>396</v>
      </c>
      <c r="B18" s="197" t="s">
        <v>397</v>
      </c>
      <c r="C18" s="196"/>
      <c r="D18" s="197">
        <v>1770</v>
      </c>
      <c r="E18" s="197"/>
      <c r="F18" s="197">
        <v>150</v>
      </c>
      <c r="G18" s="197"/>
      <c r="H18" s="197">
        <v>203.2</v>
      </c>
      <c r="I18" s="198"/>
      <c r="J18" s="198" t="s">
        <v>66</v>
      </c>
      <c r="K18" s="197"/>
      <c r="L18" s="197">
        <v>1.3781000000000001</v>
      </c>
      <c r="M18" s="33"/>
      <c r="N18" s="35"/>
      <c r="O18" s="33"/>
    </row>
    <row r="19" spans="1:15" x14ac:dyDescent="0.2">
      <c r="A19" s="35"/>
      <c r="B19" s="63"/>
      <c r="C19" s="32"/>
      <c r="D19" s="33"/>
      <c r="E19" s="32"/>
      <c r="F19" s="33"/>
      <c r="G19" s="32"/>
      <c r="H19" s="33"/>
      <c r="I19" s="32"/>
      <c r="J19" s="33"/>
      <c r="K19" s="35"/>
      <c r="L19" s="33"/>
      <c r="M19" s="35"/>
      <c r="N19" s="35"/>
      <c r="O19" s="33"/>
    </row>
    <row r="20" spans="1:15" x14ac:dyDescent="0.2">
      <c r="A20" s="7"/>
      <c r="B20" s="63"/>
      <c r="C20" s="17"/>
      <c r="D20" s="5"/>
      <c r="E20" s="4"/>
      <c r="F20" s="5"/>
      <c r="G20" s="4"/>
      <c r="H20" s="5"/>
      <c r="I20" s="40"/>
      <c r="J20" s="9"/>
      <c r="K20" s="6"/>
      <c r="L20" s="5"/>
      <c r="M20" s="35"/>
      <c r="N20" s="35"/>
      <c r="O20" s="33"/>
    </row>
    <row r="21" spans="1:15" x14ac:dyDescent="0.2">
      <c r="A21" s="7"/>
      <c r="B21" s="63"/>
      <c r="C21" s="17"/>
      <c r="D21" s="5"/>
      <c r="E21" s="4"/>
      <c r="F21" s="5"/>
      <c r="G21" s="4"/>
      <c r="H21" s="5"/>
      <c r="I21" s="40"/>
      <c r="J21" s="9"/>
      <c r="K21" s="6"/>
      <c r="L21" s="5"/>
      <c r="M21" s="35"/>
      <c r="N21" s="35"/>
      <c r="O21" s="33"/>
    </row>
    <row r="22" spans="1:15" x14ac:dyDescent="0.2">
      <c r="A22" s="7"/>
      <c r="B22" s="63"/>
      <c r="C22" s="17"/>
      <c r="D22" s="5"/>
      <c r="E22" s="4"/>
      <c r="F22" s="5"/>
      <c r="G22" s="4"/>
      <c r="H22" s="5"/>
      <c r="I22" s="40"/>
      <c r="J22" s="9"/>
      <c r="K22" s="6"/>
      <c r="L22" s="5"/>
      <c r="M22" s="35"/>
      <c r="N22" s="35"/>
      <c r="O22" s="33"/>
    </row>
    <row r="23" spans="1:15" x14ac:dyDescent="0.2">
      <c r="A23" s="7"/>
      <c r="B23" s="63"/>
      <c r="C23" s="17"/>
      <c r="D23" s="5"/>
      <c r="E23" s="4"/>
      <c r="F23" s="5"/>
      <c r="G23" s="4"/>
      <c r="H23" s="5"/>
      <c r="I23" s="40"/>
      <c r="J23" s="9"/>
      <c r="K23" s="6"/>
      <c r="L23" s="5"/>
      <c r="M23" s="35"/>
      <c r="N23" s="35"/>
      <c r="O23" s="33"/>
    </row>
    <row r="24" spans="1:15" x14ac:dyDescent="0.2">
      <c r="A24" s="7"/>
      <c r="B24" s="63"/>
      <c r="C24" s="32"/>
      <c r="D24" s="33"/>
      <c r="E24" s="32"/>
      <c r="F24" s="33"/>
      <c r="G24" s="32"/>
      <c r="H24" s="33"/>
      <c r="I24" s="32"/>
      <c r="J24" s="33"/>
      <c r="K24" s="35"/>
      <c r="L24" s="33"/>
      <c r="M24" s="35"/>
      <c r="N24" s="35"/>
      <c r="O24" s="33"/>
    </row>
    <row r="25" spans="1:15" x14ac:dyDescent="0.2">
      <c r="A25" s="35"/>
      <c r="B25" s="63"/>
      <c r="C25" s="32"/>
      <c r="D25" s="33"/>
      <c r="E25" s="32"/>
      <c r="F25" s="33"/>
      <c r="G25" s="32"/>
      <c r="H25" s="33"/>
      <c r="I25" s="32"/>
      <c r="J25" s="33"/>
      <c r="K25" s="35"/>
      <c r="L25" s="33"/>
      <c r="M25" s="35"/>
      <c r="N25" s="35"/>
      <c r="O25" s="33"/>
    </row>
    <row r="26" spans="1:15" x14ac:dyDescent="0.2">
      <c r="A26" s="7"/>
      <c r="B26" s="63"/>
      <c r="C26" s="17"/>
      <c r="D26" s="5"/>
      <c r="E26" s="4"/>
      <c r="F26" s="5"/>
      <c r="G26" s="4"/>
      <c r="H26" s="5"/>
      <c r="I26" s="40"/>
      <c r="J26" s="9"/>
      <c r="K26" s="6"/>
      <c r="L26" s="5"/>
      <c r="M26" s="35"/>
      <c r="N26" s="35"/>
      <c r="O26" s="33"/>
    </row>
    <row r="27" spans="1:15" x14ac:dyDescent="0.2">
      <c r="A27" s="7"/>
      <c r="B27" s="63"/>
      <c r="C27" s="17"/>
      <c r="D27" s="5"/>
      <c r="E27" s="4"/>
      <c r="F27" s="5"/>
      <c r="G27" s="4"/>
      <c r="H27" s="5"/>
      <c r="I27" s="40"/>
      <c r="J27" s="9"/>
      <c r="K27" s="6"/>
      <c r="L27" s="5"/>
      <c r="M27" s="35"/>
      <c r="N27" s="35"/>
      <c r="O27" s="33"/>
    </row>
    <row r="28" spans="1:15" x14ac:dyDescent="0.2">
      <c r="A28" s="35"/>
      <c r="B28" s="63"/>
      <c r="C28" s="32"/>
      <c r="D28" s="33"/>
      <c r="E28" s="32"/>
      <c r="F28" s="33"/>
      <c r="G28" s="32"/>
      <c r="H28" s="33"/>
      <c r="I28" s="32"/>
      <c r="J28" s="33"/>
      <c r="K28" s="35"/>
      <c r="L28" s="33"/>
      <c r="M28" s="35"/>
      <c r="N28" s="35"/>
      <c r="O28" s="33"/>
    </row>
    <row r="29" spans="1:15" x14ac:dyDescent="0.2">
      <c r="A29" s="7"/>
      <c r="B29" s="63"/>
      <c r="C29" s="17"/>
      <c r="D29" s="5"/>
      <c r="E29" s="4"/>
      <c r="F29" s="5"/>
      <c r="G29" s="4"/>
      <c r="H29" s="5"/>
      <c r="I29" s="40"/>
      <c r="J29" s="9"/>
      <c r="K29" s="6"/>
      <c r="L29" s="5"/>
      <c r="M29" s="35"/>
      <c r="N29" s="35"/>
      <c r="O29" s="33"/>
    </row>
    <row r="30" spans="1:15" ht="13.5" thickBot="1" x14ac:dyDescent="0.25">
      <c r="A30" s="58"/>
      <c r="B30" s="64"/>
      <c r="C30" s="52"/>
      <c r="D30" s="53"/>
      <c r="E30" s="59"/>
      <c r="F30" s="53"/>
      <c r="G30" s="59"/>
      <c r="H30" s="53"/>
      <c r="I30" s="60"/>
      <c r="J30" s="56"/>
      <c r="K30" s="57"/>
      <c r="L30" s="53"/>
      <c r="M30" s="38"/>
      <c r="N30" s="38"/>
      <c r="O30" s="34"/>
    </row>
  </sheetData>
  <sheetProtection password="D243" sheet="1" objects="1" scenarios="1"/>
  <mergeCells count="2">
    <mergeCell ref="A1:J2"/>
    <mergeCell ref="K1:O2"/>
  </mergeCells>
  <pageMargins left="0.75" right="0.75" top="1" bottom="1" header="0.5" footer="0.5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D6B9-FFE5-4040-ACF6-2C2B9A435A7E}">
  <dimension ref="A1:V36"/>
  <sheetViews>
    <sheetView zoomScale="80" zoomScaleNormal="80" workbookViewId="0">
      <selection activeCell="C13" sqref="C13"/>
    </sheetView>
  </sheetViews>
  <sheetFormatPr defaultRowHeight="12.75" x14ac:dyDescent="0.2"/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/>
      <c r="L3" s="26"/>
      <c r="M3" s="26" t="s">
        <v>438</v>
      </c>
      <c r="N3" s="27"/>
      <c r="O3" s="26"/>
    </row>
    <row r="4" spans="1:15" x14ac:dyDescent="0.2">
      <c r="A4" s="215"/>
      <c r="B4" s="194"/>
      <c r="C4" s="72" t="s">
        <v>11</v>
      </c>
      <c r="D4" s="3" t="s">
        <v>12</v>
      </c>
      <c r="E4" s="73" t="s">
        <v>11</v>
      </c>
      <c r="F4" s="3" t="s">
        <v>12</v>
      </c>
      <c r="G4" s="73" t="s">
        <v>11</v>
      </c>
      <c r="H4" s="3" t="s">
        <v>12</v>
      </c>
      <c r="I4" s="74" t="s">
        <v>11</v>
      </c>
      <c r="J4" s="3" t="s">
        <v>12</v>
      </c>
      <c r="K4" s="31"/>
      <c r="L4" s="3"/>
      <c r="M4" s="31"/>
      <c r="N4" s="31"/>
      <c r="O4" s="3"/>
    </row>
    <row r="5" spans="1:15" x14ac:dyDescent="0.2">
      <c r="A5" s="215" t="s">
        <v>394</v>
      </c>
      <c r="B5" s="208">
        <v>40</v>
      </c>
      <c r="C5" s="196" t="s">
        <v>241</v>
      </c>
      <c r="D5" s="197">
        <v>1770</v>
      </c>
      <c r="E5" s="197">
        <v>290</v>
      </c>
      <c r="F5" s="197">
        <v>221</v>
      </c>
      <c r="G5" s="197">
        <v>330</v>
      </c>
      <c r="H5" s="197">
        <v>275</v>
      </c>
      <c r="I5" s="198" t="s">
        <v>67</v>
      </c>
      <c r="J5" s="198" t="s">
        <v>66</v>
      </c>
      <c r="K5" s="197"/>
      <c r="L5" s="197"/>
      <c r="M5" s="42">
        <v>1361</v>
      </c>
      <c r="N5" s="6"/>
      <c r="O5" s="5"/>
    </row>
    <row r="6" spans="1:15" x14ac:dyDescent="0.2">
      <c r="A6" s="215" t="s">
        <v>395</v>
      </c>
      <c r="B6" s="208">
        <v>40</v>
      </c>
      <c r="C6" s="196" t="s">
        <v>241</v>
      </c>
      <c r="D6" s="197">
        <v>1770</v>
      </c>
      <c r="E6" s="197">
        <v>290</v>
      </c>
      <c r="F6" s="197">
        <v>221</v>
      </c>
      <c r="G6" s="197">
        <v>330</v>
      </c>
      <c r="H6" s="197">
        <v>275</v>
      </c>
      <c r="I6" s="198" t="s">
        <v>67</v>
      </c>
      <c r="J6" s="198" t="s">
        <v>66</v>
      </c>
      <c r="K6" s="197"/>
      <c r="L6" s="197"/>
      <c r="M6" s="42">
        <v>1361</v>
      </c>
      <c r="N6" s="6"/>
      <c r="O6" s="5"/>
    </row>
    <row r="7" spans="1:15" x14ac:dyDescent="0.2">
      <c r="A7" s="215" t="s">
        <v>396</v>
      </c>
      <c r="B7" s="208">
        <v>40</v>
      </c>
      <c r="C7" s="196" t="s">
        <v>241</v>
      </c>
      <c r="D7" s="197">
        <v>1770</v>
      </c>
      <c r="E7" s="197">
        <v>290</v>
      </c>
      <c r="F7" s="197">
        <v>221</v>
      </c>
      <c r="G7" s="197">
        <v>330</v>
      </c>
      <c r="H7" s="197">
        <v>275</v>
      </c>
      <c r="I7" s="198" t="s">
        <v>67</v>
      </c>
      <c r="J7" s="198" t="s">
        <v>66</v>
      </c>
      <c r="K7" s="197"/>
      <c r="L7" s="197"/>
      <c r="M7" s="42">
        <v>1361</v>
      </c>
      <c r="N7" s="6"/>
      <c r="O7" s="5"/>
    </row>
    <row r="8" spans="1:15" ht="13.5" thickBot="1" x14ac:dyDescent="0.25">
      <c r="A8" s="58"/>
      <c r="B8" s="216"/>
      <c r="C8" s="52"/>
      <c r="D8" s="53"/>
      <c r="E8" s="59"/>
      <c r="F8" s="53"/>
      <c r="G8" s="59"/>
      <c r="H8" s="53"/>
      <c r="I8" s="60"/>
      <c r="J8" s="56"/>
      <c r="K8" s="57"/>
      <c r="L8" s="53"/>
      <c r="M8" s="57"/>
      <c r="N8" s="57"/>
      <c r="O8" s="53"/>
    </row>
    <row r="10" spans="1:15" ht="12.75" customHeight="1" x14ac:dyDescent="0.2"/>
    <row r="11" spans="1:15" ht="12.75" customHeight="1" x14ac:dyDescent="0.2"/>
    <row r="12" spans="1:15" ht="16.5" customHeight="1" x14ac:dyDescent="0.2"/>
    <row r="13" spans="1:15" ht="16.5" customHeight="1" x14ac:dyDescent="0.2">
      <c r="A13" s="251"/>
    </row>
    <row r="14" spans="1:15" ht="16.5" customHeight="1" x14ac:dyDescent="0.2">
      <c r="A14" s="251"/>
    </row>
    <row r="15" spans="1:15" ht="16.5" customHeight="1" x14ac:dyDescent="0.2">
      <c r="A15" s="251"/>
    </row>
    <row r="17" spans="17:22" x14ac:dyDescent="0.2">
      <c r="Q17" s="331"/>
      <c r="R17" s="331"/>
      <c r="S17" s="331"/>
      <c r="T17" s="330"/>
      <c r="U17" s="330"/>
      <c r="V17" s="330"/>
    </row>
    <row r="18" spans="17:22" x14ac:dyDescent="0.2">
      <c r="Q18" s="331"/>
      <c r="R18" s="331"/>
      <c r="S18" s="331"/>
      <c r="T18" s="330"/>
      <c r="U18" s="330"/>
      <c r="V18" s="330"/>
    </row>
    <row r="19" spans="17:22" x14ac:dyDescent="0.2">
      <c r="Q19" s="332"/>
      <c r="R19" s="332"/>
      <c r="S19" s="332"/>
      <c r="T19" s="333"/>
      <c r="U19" s="333"/>
      <c r="V19" s="333"/>
    </row>
    <row r="20" spans="17:22" x14ac:dyDescent="0.2">
      <c r="Q20" s="332"/>
      <c r="R20" s="332"/>
      <c r="S20" s="332"/>
      <c r="T20" s="333"/>
      <c r="U20" s="333"/>
      <c r="V20" s="333"/>
    </row>
    <row r="21" spans="17:22" x14ac:dyDescent="0.2">
      <c r="Q21" s="332"/>
      <c r="R21" s="332"/>
      <c r="S21" s="332"/>
      <c r="T21" s="333"/>
      <c r="U21" s="333"/>
      <c r="V21" s="333"/>
    </row>
    <row r="22" spans="17:22" x14ac:dyDescent="0.2">
      <c r="Q22" s="332"/>
      <c r="R22" s="332"/>
      <c r="S22" s="332"/>
      <c r="T22" s="335"/>
      <c r="U22" s="335"/>
      <c r="V22" s="335"/>
    </row>
    <row r="23" spans="17:22" x14ac:dyDescent="0.2">
      <c r="Q23" s="332"/>
      <c r="R23" s="332"/>
      <c r="S23" s="332"/>
      <c r="T23" s="333"/>
      <c r="U23" s="333"/>
      <c r="V23" s="333"/>
    </row>
    <row r="24" spans="17:22" x14ac:dyDescent="0.2">
      <c r="Q24" s="332"/>
      <c r="R24" s="332"/>
      <c r="S24" s="250"/>
      <c r="T24" s="333"/>
      <c r="U24" s="333"/>
      <c r="V24" s="333"/>
    </row>
    <row r="25" spans="17:22" x14ac:dyDescent="0.2">
      <c r="Q25" s="332"/>
      <c r="R25" s="332"/>
      <c r="S25" s="250"/>
      <c r="T25" s="333"/>
      <c r="U25" s="333"/>
      <c r="V25" s="333"/>
    </row>
    <row r="26" spans="17:22" ht="42" customHeight="1" x14ac:dyDescent="0.2">
      <c r="Q26" s="334"/>
      <c r="R26" s="334"/>
      <c r="S26" s="334"/>
      <c r="T26" s="334"/>
      <c r="U26" s="334"/>
      <c r="V26" s="334"/>
    </row>
    <row r="27" spans="17:22" ht="30.75" customHeight="1" x14ac:dyDescent="0.2">
      <c r="Q27" s="334"/>
      <c r="R27" s="334"/>
      <c r="S27" s="334"/>
      <c r="T27" s="334"/>
      <c r="U27" s="334"/>
      <c r="V27" s="334"/>
    </row>
    <row r="35" ht="12.75" customHeight="1" x14ac:dyDescent="0.2"/>
    <row r="36" ht="12.75" customHeight="1" x14ac:dyDescent="0.2"/>
  </sheetData>
  <mergeCells count="21">
    <mergeCell ref="Q26:V26"/>
    <mergeCell ref="Q27:V27"/>
    <mergeCell ref="Q22:S22"/>
    <mergeCell ref="T22:V22"/>
    <mergeCell ref="Q23:S23"/>
    <mergeCell ref="T23:V23"/>
    <mergeCell ref="Q24:R25"/>
    <mergeCell ref="T24:V24"/>
    <mergeCell ref="T25:V25"/>
    <mergeCell ref="Q19:S19"/>
    <mergeCell ref="T19:V19"/>
    <mergeCell ref="Q20:S20"/>
    <mergeCell ref="T20:V20"/>
    <mergeCell ref="Q21:S21"/>
    <mergeCell ref="T21:V21"/>
    <mergeCell ref="V17:V18"/>
    <mergeCell ref="A1:J2"/>
    <mergeCell ref="K1:O2"/>
    <mergeCell ref="Q17:S18"/>
    <mergeCell ref="T17:T18"/>
    <mergeCell ref="U17:U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V36"/>
  <sheetViews>
    <sheetView topLeftCell="B1" zoomScale="80" zoomScaleNormal="80" workbookViewId="0">
      <selection activeCell="M5" sqref="M5"/>
    </sheetView>
  </sheetViews>
  <sheetFormatPr defaultRowHeight="12.75" x14ac:dyDescent="0.2"/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/>
      <c r="L3" s="26"/>
      <c r="M3" s="26" t="s">
        <v>438</v>
      </c>
      <c r="N3" s="27"/>
      <c r="O3" s="26"/>
    </row>
    <row r="4" spans="1:15" x14ac:dyDescent="0.2">
      <c r="A4" s="31"/>
      <c r="B4" s="194"/>
      <c r="C4" s="72" t="s">
        <v>11</v>
      </c>
      <c r="D4" s="3" t="s">
        <v>12</v>
      </c>
      <c r="E4" s="73" t="s">
        <v>11</v>
      </c>
      <c r="F4" s="3" t="s">
        <v>12</v>
      </c>
      <c r="G4" s="73" t="s">
        <v>11</v>
      </c>
      <c r="H4" s="3" t="s">
        <v>12</v>
      </c>
      <c r="I4" s="74" t="s">
        <v>11</v>
      </c>
      <c r="J4" s="3" t="s">
        <v>12</v>
      </c>
      <c r="K4" s="31"/>
      <c r="L4" s="3"/>
      <c r="M4" s="31"/>
      <c r="N4" s="31"/>
      <c r="O4" s="3"/>
    </row>
    <row r="5" spans="1:15" x14ac:dyDescent="0.2">
      <c r="A5" s="215" t="s">
        <v>439</v>
      </c>
      <c r="B5" s="208">
        <v>40</v>
      </c>
      <c r="C5" s="196" t="s">
        <v>241</v>
      </c>
      <c r="D5" s="197">
        <v>1770</v>
      </c>
      <c r="E5" s="197">
        <v>290</v>
      </c>
      <c r="F5" s="197">
        <v>221</v>
      </c>
      <c r="G5" s="197">
        <v>330</v>
      </c>
      <c r="H5" s="197">
        <v>275</v>
      </c>
      <c r="I5" s="198" t="s">
        <v>67</v>
      </c>
      <c r="J5" s="198" t="s">
        <v>66</v>
      </c>
      <c r="K5" s="197"/>
      <c r="L5" s="197"/>
      <c r="M5" s="5">
        <v>1.3522000000000001</v>
      </c>
      <c r="N5" s="6"/>
      <c r="O5" s="5"/>
    </row>
    <row r="6" spans="1:15" x14ac:dyDescent="0.2">
      <c r="A6" s="215" t="s">
        <v>440</v>
      </c>
      <c r="B6" s="208">
        <v>40</v>
      </c>
      <c r="C6" s="196" t="s">
        <v>241</v>
      </c>
      <c r="D6" s="197">
        <v>1770</v>
      </c>
      <c r="E6" s="197">
        <v>290</v>
      </c>
      <c r="F6" s="197">
        <v>221</v>
      </c>
      <c r="G6" s="197">
        <v>330</v>
      </c>
      <c r="H6" s="197">
        <v>275</v>
      </c>
      <c r="I6" s="198" t="s">
        <v>67</v>
      </c>
      <c r="J6" s="198" t="s">
        <v>66</v>
      </c>
      <c r="K6" s="197"/>
      <c r="L6" s="197"/>
      <c r="M6" s="5">
        <v>1.3522000000000001</v>
      </c>
      <c r="N6" s="6"/>
      <c r="O6" s="5"/>
    </row>
    <row r="7" spans="1:15" x14ac:dyDescent="0.2">
      <c r="A7" s="215" t="s">
        <v>441</v>
      </c>
      <c r="B7" s="208">
        <v>40</v>
      </c>
      <c r="C7" s="196" t="s">
        <v>241</v>
      </c>
      <c r="D7" s="197">
        <v>1770</v>
      </c>
      <c r="E7" s="197">
        <v>290</v>
      </c>
      <c r="F7" s="197">
        <v>221</v>
      </c>
      <c r="G7" s="197">
        <v>330</v>
      </c>
      <c r="H7" s="197">
        <v>275</v>
      </c>
      <c r="I7" s="198" t="s">
        <v>67</v>
      </c>
      <c r="J7" s="198" t="s">
        <v>66</v>
      </c>
      <c r="K7" s="197"/>
      <c r="L7" s="197"/>
      <c r="M7" s="5">
        <v>1.3522000000000001</v>
      </c>
      <c r="N7" s="6"/>
      <c r="O7" s="5"/>
    </row>
    <row r="8" spans="1:15" ht="13.5" thickBot="1" x14ac:dyDescent="0.25">
      <c r="A8" s="58"/>
      <c r="B8" s="216"/>
      <c r="C8" s="52"/>
      <c r="D8" s="53"/>
      <c r="E8" s="59"/>
      <c r="F8" s="53"/>
      <c r="G8" s="59"/>
      <c r="H8" s="53"/>
      <c r="I8" s="60"/>
      <c r="J8" s="56"/>
      <c r="K8" s="57"/>
      <c r="L8" s="53"/>
      <c r="M8" s="57"/>
      <c r="N8" s="57"/>
      <c r="O8" s="53"/>
    </row>
    <row r="10" spans="1:15" ht="12.75" customHeight="1" x14ac:dyDescent="0.2"/>
    <row r="11" spans="1:15" ht="12.75" customHeight="1" x14ac:dyDescent="0.2"/>
    <row r="12" spans="1:15" ht="16.5" customHeight="1" x14ac:dyDescent="0.2"/>
    <row r="13" spans="1:15" ht="16.5" customHeight="1" x14ac:dyDescent="0.2"/>
    <row r="14" spans="1:15" ht="16.5" customHeight="1" x14ac:dyDescent="0.2"/>
    <row r="15" spans="1:15" ht="16.5" customHeight="1" x14ac:dyDescent="0.2"/>
    <row r="17" spans="17:22" x14ac:dyDescent="0.2">
      <c r="Q17" s="336" t="s">
        <v>442</v>
      </c>
      <c r="R17" s="336"/>
      <c r="S17" s="336"/>
      <c r="T17" s="337" t="s">
        <v>435</v>
      </c>
      <c r="U17" s="337" t="s">
        <v>436</v>
      </c>
      <c r="V17" s="337" t="s">
        <v>437</v>
      </c>
    </row>
    <row r="18" spans="17:22" x14ac:dyDescent="0.2">
      <c r="Q18" s="336"/>
      <c r="R18" s="336"/>
      <c r="S18" s="336"/>
      <c r="T18" s="338"/>
      <c r="U18" s="338"/>
      <c r="V18" s="338"/>
    </row>
    <row r="19" spans="17:22" x14ac:dyDescent="0.2">
      <c r="Q19" s="344" t="s">
        <v>443</v>
      </c>
      <c r="R19" s="345"/>
      <c r="S19" s="346"/>
      <c r="T19" s="339">
        <v>1820</v>
      </c>
      <c r="U19" s="339"/>
      <c r="V19" s="339"/>
    </row>
    <row r="20" spans="17:22" x14ac:dyDescent="0.2">
      <c r="Q20" s="344" t="s">
        <v>444</v>
      </c>
      <c r="R20" s="345"/>
      <c r="S20" s="346"/>
      <c r="T20" s="339">
        <v>2730</v>
      </c>
      <c r="U20" s="339"/>
      <c r="V20" s="339"/>
    </row>
    <row r="21" spans="17:22" x14ac:dyDescent="0.2">
      <c r="Q21" s="344" t="s">
        <v>445</v>
      </c>
      <c r="R21" s="345"/>
      <c r="S21" s="346"/>
      <c r="T21" s="339">
        <v>4550</v>
      </c>
      <c r="U21" s="339"/>
      <c r="V21" s="339"/>
    </row>
    <row r="22" spans="17:22" x14ac:dyDescent="0.2">
      <c r="Q22" s="344" t="s">
        <v>446</v>
      </c>
      <c r="R22" s="345"/>
      <c r="S22" s="346"/>
      <c r="T22" s="347">
        <v>3500</v>
      </c>
      <c r="U22" s="347"/>
      <c r="V22" s="347"/>
    </row>
    <row r="23" spans="17:22" x14ac:dyDescent="0.2">
      <c r="Q23" s="344" t="s">
        <v>447</v>
      </c>
      <c r="R23" s="345"/>
      <c r="S23" s="346"/>
      <c r="T23" s="339">
        <v>5200</v>
      </c>
      <c r="U23" s="339"/>
      <c r="V23" s="339"/>
    </row>
    <row r="24" spans="17:22" x14ac:dyDescent="0.2">
      <c r="Q24" s="317" t="s">
        <v>448</v>
      </c>
      <c r="R24" s="317"/>
      <c r="S24" s="213" t="s">
        <v>449</v>
      </c>
      <c r="T24" s="339">
        <v>8000</v>
      </c>
      <c r="U24" s="339"/>
      <c r="V24" s="339"/>
    </row>
    <row r="25" spans="17:22" x14ac:dyDescent="0.2">
      <c r="Q25" s="317"/>
      <c r="R25" s="317"/>
      <c r="S25" s="213" t="s">
        <v>450</v>
      </c>
      <c r="T25" s="340">
        <v>6200</v>
      </c>
      <c r="U25" s="341"/>
      <c r="V25" s="342"/>
    </row>
    <row r="26" spans="17:22" ht="42" customHeight="1" x14ac:dyDescent="0.2">
      <c r="Q26" s="343" t="s">
        <v>451</v>
      </c>
      <c r="R26" s="343"/>
      <c r="S26" s="343"/>
      <c r="T26" s="343"/>
      <c r="U26" s="343"/>
      <c r="V26" s="343"/>
    </row>
    <row r="27" spans="17:22" ht="30.75" customHeight="1" x14ac:dyDescent="0.2">
      <c r="Q27" s="334" t="s">
        <v>452</v>
      </c>
      <c r="R27" s="334"/>
      <c r="S27" s="334"/>
      <c r="T27" s="334"/>
      <c r="U27" s="334"/>
      <c r="V27" s="334"/>
    </row>
    <row r="35" ht="12.75" customHeight="1" x14ac:dyDescent="0.2"/>
    <row r="36" ht="12.75" customHeight="1" x14ac:dyDescent="0.2"/>
  </sheetData>
  <mergeCells count="21">
    <mergeCell ref="T19:V19"/>
    <mergeCell ref="Q20:S20"/>
    <mergeCell ref="T20:V20"/>
    <mergeCell ref="U17:U18"/>
    <mergeCell ref="V17:V18"/>
    <mergeCell ref="A1:J2"/>
    <mergeCell ref="K1:O2"/>
    <mergeCell ref="Q17:S18"/>
    <mergeCell ref="T17:T18"/>
    <mergeCell ref="Q27:V27"/>
    <mergeCell ref="T24:V24"/>
    <mergeCell ref="T25:V25"/>
    <mergeCell ref="Q24:R25"/>
    <mergeCell ref="Q26:V26"/>
    <mergeCell ref="Q21:S21"/>
    <mergeCell ref="T21:V21"/>
    <mergeCell ref="Q22:S22"/>
    <mergeCell ref="T22:V22"/>
    <mergeCell ref="Q23:S23"/>
    <mergeCell ref="T23:V23"/>
    <mergeCell ref="Q19:S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4C64-72A6-4E8E-AA4E-51E466B75840}">
  <dimension ref="A1:O10"/>
  <sheetViews>
    <sheetView workbookViewId="0">
      <selection activeCell="Q7" sqref="Q7"/>
    </sheetView>
  </sheetViews>
  <sheetFormatPr defaultRowHeight="12.75" x14ac:dyDescent="0.2"/>
  <sheetData>
    <row r="1" spans="1:15" ht="13.5" thickBot="1" x14ac:dyDescent="0.25"/>
    <row r="2" spans="1:15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6"/>
      <c r="J2" s="267"/>
      <c r="K2" s="271" t="s">
        <v>1</v>
      </c>
      <c r="L2" s="272"/>
      <c r="M2" s="272"/>
      <c r="N2" s="272"/>
      <c r="O2" s="273"/>
    </row>
    <row r="3" spans="1:15" ht="13.5" thickBot="1" x14ac:dyDescent="0.25">
      <c r="A3" s="268"/>
      <c r="B3" s="269"/>
      <c r="C3" s="269"/>
      <c r="D3" s="269"/>
      <c r="E3" s="269"/>
      <c r="F3" s="269"/>
      <c r="G3" s="269"/>
      <c r="H3" s="269"/>
      <c r="I3" s="269"/>
      <c r="J3" s="270"/>
      <c r="K3" s="274"/>
      <c r="L3" s="275"/>
      <c r="M3" s="275"/>
      <c r="N3" s="275"/>
      <c r="O3" s="276"/>
    </row>
    <row r="4" spans="1:15" ht="16.5" thickBot="1" x14ac:dyDescent="0.3">
      <c r="A4" s="26" t="s">
        <v>2</v>
      </c>
      <c r="B4" s="66" t="s">
        <v>149</v>
      </c>
      <c r="C4" s="28" t="s">
        <v>3</v>
      </c>
      <c r="D4" s="29"/>
      <c r="E4" s="27" t="s">
        <v>4</v>
      </c>
      <c r="F4" s="29"/>
      <c r="G4" s="27" t="s">
        <v>5</v>
      </c>
      <c r="H4" s="29"/>
      <c r="I4" s="30" t="s">
        <v>6</v>
      </c>
      <c r="J4" s="29"/>
      <c r="K4" s="232"/>
      <c r="L4" s="232"/>
      <c r="M4" s="232" t="s">
        <v>510</v>
      </c>
      <c r="N4" s="233" t="s">
        <v>606</v>
      </c>
      <c r="O4" s="232"/>
    </row>
    <row r="5" spans="1:15" x14ac:dyDescent="0.2">
      <c r="A5" s="31"/>
      <c r="B5" s="194"/>
      <c r="C5" s="72" t="s">
        <v>11</v>
      </c>
      <c r="D5" s="3" t="s">
        <v>12</v>
      </c>
      <c r="E5" s="73" t="s">
        <v>11</v>
      </c>
      <c r="F5" s="3" t="s">
        <v>12</v>
      </c>
      <c r="G5" s="73" t="s">
        <v>11</v>
      </c>
      <c r="H5" s="3" t="s">
        <v>12</v>
      </c>
      <c r="I5" s="74" t="s">
        <v>11</v>
      </c>
      <c r="J5" s="211" t="s">
        <v>12</v>
      </c>
      <c r="K5" s="197"/>
      <c r="L5" s="197"/>
      <c r="M5" s="197"/>
      <c r="N5" s="197"/>
      <c r="O5" s="197"/>
    </row>
    <row r="6" spans="1:15" ht="15" x14ac:dyDescent="0.2">
      <c r="A6" s="215" t="s">
        <v>440</v>
      </c>
      <c r="B6" s="208">
        <v>40</v>
      </c>
      <c r="C6" s="196" t="s">
        <v>544</v>
      </c>
      <c r="D6" s="197">
        <v>1770</v>
      </c>
      <c r="E6" s="197">
        <v>290</v>
      </c>
      <c r="F6" s="197">
        <v>221</v>
      </c>
      <c r="G6" s="197">
        <v>330</v>
      </c>
      <c r="H6" s="197">
        <v>275</v>
      </c>
      <c r="I6" s="198" t="s">
        <v>67</v>
      </c>
      <c r="J6" s="231" t="s">
        <v>66</v>
      </c>
      <c r="K6" s="197"/>
      <c r="L6" s="197"/>
      <c r="M6" s="234">
        <v>1.3520000000000001</v>
      </c>
      <c r="N6" s="234">
        <v>1.3520000000000001</v>
      </c>
      <c r="O6" s="197"/>
    </row>
    <row r="7" spans="1:15" ht="15" x14ac:dyDescent="0.2">
      <c r="A7" s="215" t="s">
        <v>542</v>
      </c>
      <c r="B7" s="208">
        <v>40</v>
      </c>
      <c r="C7" s="196" t="s">
        <v>544</v>
      </c>
      <c r="D7" s="197">
        <v>1770</v>
      </c>
      <c r="E7" s="197">
        <v>290</v>
      </c>
      <c r="F7" s="197">
        <v>221</v>
      </c>
      <c r="G7" s="197">
        <v>330</v>
      </c>
      <c r="H7" s="197">
        <v>275</v>
      </c>
      <c r="I7" s="198" t="s">
        <v>67</v>
      </c>
      <c r="J7" s="231" t="s">
        <v>66</v>
      </c>
      <c r="K7" s="197"/>
      <c r="L7" s="197"/>
      <c r="M7" s="234">
        <v>1.3520000000000001</v>
      </c>
      <c r="N7" s="234">
        <v>1.3520000000000001</v>
      </c>
      <c r="O7" s="197"/>
    </row>
    <row r="8" spans="1:15" ht="15" x14ac:dyDescent="0.2">
      <c r="A8" s="215" t="s">
        <v>543</v>
      </c>
      <c r="B8" s="208">
        <v>40</v>
      </c>
      <c r="C8" s="196" t="s">
        <v>544</v>
      </c>
      <c r="D8" s="197">
        <v>1770</v>
      </c>
      <c r="E8" s="197">
        <v>290</v>
      </c>
      <c r="F8" s="197">
        <v>221</v>
      </c>
      <c r="G8" s="197">
        <v>330</v>
      </c>
      <c r="H8" s="197">
        <v>275</v>
      </c>
      <c r="I8" s="198" t="s">
        <v>67</v>
      </c>
      <c r="J8" s="231" t="s">
        <v>66</v>
      </c>
      <c r="K8" s="197"/>
      <c r="L8" s="197"/>
      <c r="M8" s="234">
        <v>1.3520000000000001</v>
      </c>
      <c r="N8" s="234">
        <v>1.3520000000000001</v>
      </c>
      <c r="O8" s="197"/>
    </row>
    <row r="9" spans="1:15" ht="15.75" thickBot="1" x14ac:dyDescent="0.25">
      <c r="A9" s="215" t="s">
        <v>543</v>
      </c>
      <c r="B9" s="216">
        <v>40</v>
      </c>
      <c r="C9" s="52" t="s">
        <v>544</v>
      </c>
      <c r="D9" s="53">
        <v>1770</v>
      </c>
      <c r="E9" s="59">
        <v>290</v>
      </c>
      <c r="F9" s="53">
        <v>221</v>
      </c>
      <c r="G9" s="59">
        <v>330</v>
      </c>
      <c r="H9" s="53">
        <v>271</v>
      </c>
      <c r="I9" s="198" t="s">
        <v>67</v>
      </c>
      <c r="J9" s="231" t="s">
        <v>66</v>
      </c>
      <c r="K9" s="197"/>
      <c r="L9" s="197"/>
      <c r="M9" s="234">
        <v>1.3520000000000001</v>
      </c>
      <c r="N9" s="234">
        <v>1.3520000000000001</v>
      </c>
      <c r="O9" s="197"/>
    </row>
    <row r="10" spans="1:15" ht="15.75" thickBot="1" x14ac:dyDescent="0.25">
      <c r="A10" s="215" t="s">
        <v>605</v>
      </c>
      <c r="B10" s="216">
        <v>40</v>
      </c>
      <c r="C10" s="52" t="s">
        <v>544</v>
      </c>
      <c r="D10" s="53">
        <v>1770</v>
      </c>
      <c r="E10" s="59">
        <v>290</v>
      </c>
      <c r="F10" s="53">
        <v>221</v>
      </c>
      <c r="G10" s="59">
        <v>330</v>
      </c>
      <c r="H10" s="53">
        <v>271</v>
      </c>
      <c r="I10" s="198" t="s">
        <v>67</v>
      </c>
      <c r="J10" s="231" t="s">
        <v>66</v>
      </c>
      <c r="K10" s="197"/>
      <c r="L10" s="197"/>
      <c r="M10" s="234">
        <v>1.3520000000000001</v>
      </c>
      <c r="N10" s="234">
        <v>1.3520000000000001</v>
      </c>
      <c r="O10" s="197"/>
    </row>
  </sheetData>
  <mergeCells count="2">
    <mergeCell ref="A2:J3"/>
    <mergeCell ref="K2:O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O39"/>
  <sheetViews>
    <sheetView zoomScale="75" workbookViewId="0">
      <selection activeCell="O17" sqref="O17"/>
    </sheetView>
  </sheetViews>
  <sheetFormatPr defaultRowHeight="12.75" x14ac:dyDescent="0.2"/>
  <cols>
    <col min="1" max="1" width="21.5703125" customWidth="1"/>
    <col min="2" max="2" width="4.7109375" customWidth="1"/>
    <col min="3" max="3" width="6.85546875" customWidth="1"/>
    <col min="4" max="4" width="8.42578125" customWidth="1"/>
    <col min="5" max="5" width="6.85546875" customWidth="1"/>
    <col min="6" max="6" width="8.5703125" customWidth="1"/>
    <col min="7" max="7" width="7.5703125" customWidth="1"/>
    <col min="8" max="8" width="8.5703125" customWidth="1"/>
    <col min="10" max="10" width="8.7109375" customWidth="1"/>
    <col min="12" max="12" width="10" customWidth="1"/>
    <col min="13" max="13" width="12.5703125" customWidth="1"/>
    <col min="14" max="14" width="7.42578125" customWidth="1"/>
    <col min="15" max="15" width="12.14062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61" t="s">
        <v>167</v>
      </c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>
        <v>5640</v>
      </c>
      <c r="B5" s="22"/>
      <c r="C5" s="17">
        <v>1772</v>
      </c>
      <c r="D5" s="5">
        <v>1666</v>
      </c>
      <c r="E5" s="4">
        <v>290.5</v>
      </c>
      <c r="F5" s="5">
        <v>139.69999999999999</v>
      </c>
      <c r="G5" s="4">
        <v>330</v>
      </c>
      <c r="H5" s="5">
        <v>203.2</v>
      </c>
      <c r="I5" s="11" t="s">
        <v>67</v>
      </c>
      <c r="J5" s="5" t="s">
        <v>23</v>
      </c>
      <c r="K5" s="6" t="s">
        <v>24</v>
      </c>
      <c r="L5" s="6" t="s">
        <v>25</v>
      </c>
      <c r="M5" s="6" t="s">
        <v>26</v>
      </c>
      <c r="N5" s="4"/>
      <c r="O5" s="6"/>
    </row>
    <row r="6" spans="1:15" x14ac:dyDescent="0.2">
      <c r="A6" s="7">
        <v>6640</v>
      </c>
      <c r="B6" s="22"/>
      <c r="C6" s="17">
        <v>1772</v>
      </c>
      <c r="D6" s="5">
        <v>1666</v>
      </c>
      <c r="E6" s="4">
        <v>290.5</v>
      </c>
      <c r="F6" s="5">
        <v>139.69999999999999</v>
      </c>
      <c r="G6" s="4">
        <v>330</v>
      </c>
      <c r="H6" s="5">
        <v>203.2</v>
      </c>
      <c r="I6" s="11" t="s">
        <v>67</v>
      </c>
      <c r="J6" s="5" t="s">
        <v>23</v>
      </c>
      <c r="K6" s="6" t="s">
        <v>24</v>
      </c>
      <c r="L6" s="6" t="s">
        <v>25</v>
      </c>
      <c r="M6" s="6" t="s">
        <v>26</v>
      </c>
      <c r="N6" s="4"/>
      <c r="O6" s="6"/>
    </row>
    <row r="7" spans="1:15" x14ac:dyDescent="0.2">
      <c r="A7" s="7">
        <v>7740</v>
      </c>
      <c r="B7" s="22"/>
      <c r="C7" s="17">
        <v>1772</v>
      </c>
      <c r="D7" s="5">
        <v>1666</v>
      </c>
      <c r="E7" s="4">
        <v>290.5</v>
      </c>
      <c r="F7" s="5">
        <v>139.69999999999999</v>
      </c>
      <c r="G7" s="4">
        <v>330</v>
      </c>
      <c r="H7" s="5">
        <v>203.2</v>
      </c>
      <c r="I7" s="11" t="s">
        <v>67</v>
      </c>
      <c r="J7" s="5" t="s">
        <v>23</v>
      </c>
      <c r="K7" s="6" t="s">
        <v>24</v>
      </c>
      <c r="L7" s="6" t="s">
        <v>25</v>
      </c>
      <c r="M7" s="6" t="s">
        <v>26</v>
      </c>
      <c r="N7" s="4"/>
      <c r="O7" s="6"/>
    </row>
    <row r="8" spans="1:15" x14ac:dyDescent="0.2">
      <c r="A8" s="7">
        <v>7840</v>
      </c>
      <c r="B8" s="22"/>
      <c r="C8" s="17">
        <v>1772</v>
      </c>
      <c r="D8" s="5">
        <v>1666</v>
      </c>
      <c r="E8" s="4">
        <v>290.5</v>
      </c>
      <c r="F8" s="5">
        <v>139.69999999999999</v>
      </c>
      <c r="G8" s="4">
        <v>330</v>
      </c>
      <c r="H8" s="5">
        <v>203.2</v>
      </c>
      <c r="I8" s="11" t="s">
        <v>67</v>
      </c>
      <c r="J8" s="5" t="s">
        <v>23</v>
      </c>
      <c r="K8" s="6" t="s">
        <v>24</v>
      </c>
      <c r="L8" s="6" t="s">
        <v>25</v>
      </c>
      <c r="M8" s="6" t="s">
        <v>26</v>
      </c>
      <c r="N8" s="4"/>
      <c r="O8" s="6"/>
    </row>
    <row r="9" spans="1:15" x14ac:dyDescent="0.2">
      <c r="A9" s="7">
        <v>8240</v>
      </c>
      <c r="B9" s="22"/>
      <c r="C9" s="17">
        <v>1922</v>
      </c>
      <c r="D9" s="5">
        <v>1666</v>
      </c>
      <c r="E9" s="4">
        <v>290.5</v>
      </c>
      <c r="F9" s="5">
        <v>139.69999999999999</v>
      </c>
      <c r="G9" s="4">
        <v>330</v>
      </c>
      <c r="H9" s="5">
        <v>203.2</v>
      </c>
      <c r="I9" s="11" t="s">
        <v>67</v>
      </c>
      <c r="J9" s="5" t="s">
        <v>23</v>
      </c>
      <c r="K9" s="6"/>
      <c r="L9" s="6" t="s">
        <v>27</v>
      </c>
      <c r="M9" s="6" t="s">
        <v>28</v>
      </c>
      <c r="N9" s="4"/>
      <c r="O9" s="6"/>
    </row>
    <row r="10" spans="1:15" x14ac:dyDescent="0.2">
      <c r="A10" s="7">
        <v>8340</v>
      </c>
      <c r="B10" s="22"/>
      <c r="C10" s="17">
        <v>1922</v>
      </c>
      <c r="D10" s="5">
        <v>1666</v>
      </c>
      <c r="E10" s="4">
        <v>290.5</v>
      </c>
      <c r="F10" s="5">
        <v>139.69999999999999</v>
      </c>
      <c r="G10" s="4">
        <v>330</v>
      </c>
      <c r="H10" s="5">
        <v>203.2</v>
      </c>
      <c r="I10" s="11" t="s">
        <v>67</v>
      </c>
      <c r="J10" s="5" t="s">
        <v>23</v>
      </c>
      <c r="K10" s="6"/>
      <c r="L10" s="6" t="s">
        <v>27</v>
      </c>
      <c r="M10" s="6" t="s">
        <v>28</v>
      </c>
      <c r="N10" s="4"/>
      <c r="O10" s="6"/>
    </row>
    <row r="11" spans="1:15" x14ac:dyDescent="0.2">
      <c r="A11" s="7"/>
      <c r="B11" s="22"/>
      <c r="C11" s="17"/>
      <c r="D11" s="5"/>
      <c r="E11" s="4"/>
      <c r="F11" s="5"/>
      <c r="G11" s="4"/>
      <c r="H11" s="5"/>
      <c r="I11" s="11"/>
      <c r="J11" s="5" t="s">
        <v>54</v>
      </c>
      <c r="K11" s="6"/>
      <c r="L11" s="6"/>
      <c r="M11" s="6"/>
      <c r="N11" s="4"/>
      <c r="O11" s="6"/>
    </row>
    <row r="12" spans="1:15" x14ac:dyDescent="0.2">
      <c r="A12" s="7" t="s">
        <v>49</v>
      </c>
      <c r="B12" s="22"/>
      <c r="C12" s="17">
        <v>1772</v>
      </c>
      <c r="D12" s="5">
        <v>1666</v>
      </c>
      <c r="E12" s="4">
        <v>290.5</v>
      </c>
      <c r="F12" s="5">
        <v>139.5</v>
      </c>
      <c r="G12" s="4">
        <v>330</v>
      </c>
      <c r="H12" s="5">
        <v>203.2</v>
      </c>
      <c r="I12" s="11" t="s">
        <v>67</v>
      </c>
      <c r="J12" s="5" t="s">
        <v>23</v>
      </c>
      <c r="K12" s="6" t="s">
        <v>24</v>
      </c>
      <c r="L12" s="6" t="s">
        <v>25</v>
      </c>
      <c r="M12" s="6" t="s">
        <v>26</v>
      </c>
      <c r="N12" s="4"/>
      <c r="O12" s="6"/>
    </row>
    <row r="13" spans="1:15" x14ac:dyDescent="0.2">
      <c r="A13" s="7" t="s">
        <v>50</v>
      </c>
      <c r="B13" s="22"/>
      <c r="C13" s="17">
        <v>1772</v>
      </c>
      <c r="D13" s="5">
        <v>1666</v>
      </c>
      <c r="E13" s="4">
        <v>290.5</v>
      </c>
      <c r="F13" s="5">
        <v>139.5</v>
      </c>
      <c r="G13" s="4">
        <v>330</v>
      </c>
      <c r="H13" s="5">
        <v>203.2</v>
      </c>
      <c r="I13" s="11" t="s">
        <v>67</v>
      </c>
      <c r="J13" s="5" t="s">
        <v>23</v>
      </c>
      <c r="K13" s="6" t="s">
        <v>24</v>
      </c>
      <c r="L13" s="6" t="s">
        <v>25</v>
      </c>
      <c r="M13" s="6" t="s">
        <v>26</v>
      </c>
      <c r="N13" s="4"/>
      <c r="O13" s="6"/>
    </row>
    <row r="14" spans="1:15" x14ac:dyDescent="0.2">
      <c r="A14" s="7" t="s">
        <v>51</v>
      </c>
      <c r="B14" s="22"/>
      <c r="C14" s="17">
        <v>1772</v>
      </c>
      <c r="D14" s="5">
        <v>1666</v>
      </c>
      <c r="E14" s="4">
        <v>290.5</v>
      </c>
      <c r="F14" s="5">
        <v>139.5</v>
      </c>
      <c r="G14" s="4">
        <v>330</v>
      </c>
      <c r="H14" s="5">
        <v>203.2</v>
      </c>
      <c r="I14" s="11" t="s">
        <v>67</v>
      </c>
      <c r="J14" s="5" t="s">
        <v>23</v>
      </c>
      <c r="K14" s="6" t="s">
        <v>24</v>
      </c>
      <c r="L14" s="6" t="s">
        <v>25</v>
      </c>
      <c r="M14" s="6" t="s">
        <v>26</v>
      </c>
      <c r="N14" s="4"/>
      <c r="O14" s="6"/>
    </row>
    <row r="15" spans="1:15" x14ac:dyDescent="0.2">
      <c r="A15" s="7" t="s">
        <v>52</v>
      </c>
      <c r="B15" s="22"/>
      <c r="C15" s="17">
        <v>1772</v>
      </c>
      <c r="D15" s="5">
        <v>1666</v>
      </c>
      <c r="E15" s="4">
        <v>290.5</v>
      </c>
      <c r="F15" s="5">
        <v>139.5</v>
      </c>
      <c r="G15" s="4">
        <v>330</v>
      </c>
      <c r="H15" s="5">
        <v>203.2</v>
      </c>
      <c r="I15" s="11" t="s">
        <v>67</v>
      </c>
      <c r="J15" s="5" t="s">
        <v>23</v>
      </c>
      <c r="K15" s="6" t="s">
        <v>24</v>
      </c>
      <c r="L15" s="6" t="s">
        <v>25</v>
      </c>
      <c r="M15" s="6" t="s">
        <v>26</v>
      </c>
      <c r="N15" s="4"/>
      <c r="O15" s="6"/>
    </row>
    <row r="16" spans="1:15" x14ac:dyDescent="0.2">
      <c r="A16" s="7" t="s">
        <v>53</v>
      </c>
      <c r="B16" s="22"/>
      <c r="C16" s="17">
        <v>1772</v>
      </c>
      <c r="D16" s="5">
        <v>1666</v>
      </c>
      <c r="E16" s="4">
        <v>290.5</v>
      </c>
      <c r="F16" s="5">
        <v>139.5</v>
      </c>
      <c r="G16" s="4">
        <v>330</v>
      </c>
      <c r="H16" s="5">
        <v>203.2</v>
      </c>
      <c r="I16" s="11" t="s">
        <v>67</v>
      </c>
      <c r="J16" s="5" t="s">
        <v>23</v>
      </c>
      <c r="K16" s="6" t="s">
        <v>24</v>
      </c>
      <c r="L16" s="6" t="s">
        <v>25</v>
      </c>
      <c r="M16" s="6" t="s">
        <v>26</v>
      </c>
      <c r="N16" s="4"/>
      <c r="O16" s="6"/>
    </row>
    <row r="17" spans="1:15" x14ac:dyDescent="0.2">
      <c r="A17" s="7"/>
      <c r="B17" s="22"/>
      <c r="C17" s="17"/>
      <c r="D17" s="5"/>
      <c r="E17" s="4"/>
      <c r="F17" s="5"/>
      <c r="G17" s="4"/>
      <c r="H17" s="5"/>
      <c r="I17" s="11"/>
      <c r="J17" s="5"/>
      <c r="K17" s="6"/>
      <c r="L17" s="6"/>
      <c r="M17" s="6"/>
      <c r="N17" s="4"/>
      <c r="O17" s="6"/>
    </row>
    <row r="18" spans="1:15" x14ac:dyDescent="0.2">
      <c r="A18" s="87" t="s">
        <v>172</v>
      </c>
      <c r="B18" s="22"/>
      <c r="C18" s="17"/>
      <c r="D18" s="5"/>
      <c r="E18" s="4"/>
      <c r="F18" s="5"/>
      <c r="G18" s="4"/>
      <c r="H18" s="5"/>
      <c r="I18" s="11"/>
      <c r="J18" s="5"/>
      <c r="K18" s="6"/>
      <c r="L18" s="6"/>
      <c r="M18" s="6"/>
      <c r="N18" s="4"/>
      <c r="O18" s="6"/>
    </row>
    <row r="19" spans="1:15" x14ac:dyDescent="0.2">
      <c r="A19" s="18" t="s">
        <v>119</v>
      </c>
      <c r="B19" s="23"/>
      <c r="C19" s="17"/>
      <c r="D19" s="5"/>
      <c r="E19" s="4"/>
      <c r="F19" s="5"/>
      <c r="G19" s="4"/>
      <c r="H19" s="5"/>
      <c r="I19" s="11"/>
      <c r="J19" s="5"/>
      <c r="K19" s="6"/>
      <c r="L19" s="6"/>
      <c r="M19" s="6"/>
      <c r="N19" s="4"/>
      <c r="O19" s="6"/>
    </row>
    <row r="20" spans="1:15" x14ac:dyDescent="0.2">
      <c r="A20" s="20" t="s">
        <v>117</v>
      </c>
      <c r="B20" s="24"/>
      <c r="C20" s="17"/>
      <c r="D20" s="5"/>
      <c r="E20" s="4"/>
      <c r="F20" s="5"/>
      <c r="G20" s="4"/>
      <c r="H20" s="5"/>
      <c r="I20" s="11"/>
      <c r="J20" s="5"/>
      <c r="K20" s="6"/>
      <c r="L20" s="6"/>
      <c r="M20" s="6"/>
      <c r="N20" s="4"/>
      <c r="O20" s="6"/>
    </row>
    <row r="21" spans="1:15" x14ac:dyDescent="0.2">
      <c r="A21" s="19" t="s">
        <v>118</v>
      </c>
      <c r="B21" s="25"/>
      <c r="C21" s="17"/>
      <c r="D21" s="5"/>
      <c r="E21" s="4"/>
      <c r="F21" s="5"/>
      <c r="G21" s="4"/>
      <c r="H21" s="5"/>
      <c r="I21" s="11"/>
      <c r="J21" s="5"/>
      <c r="K21" s="6"/>
      <c r="L21" s="6"/>
      <c r="M21" s="6"/>
      <c r="N21" s="4"/>
      <c r="O21" s="6"/>
    </row>
    <row r="22" spans="1:15" x14ac:dyDescent="0.2">
      <c r="A22" s="7" t="s">
        <v>120</v>
      </c>
      <c r="B22" s="22"/>
      <c r="C22" s="17"/>
      <c r="D22" s="5">
        <v>1770</v>
      </c>
      <c r="E22" s="4">
        <v>117.6</v>
      </c>
      <c r="F22" s="5">
        <v>139.5</v>
      </c>
      <c r="G22" s="4">
        <v>152.4</v>
      </c>
      <c r="H22" s="5">
        <v>203.2</v>
      </c>
      <c r="I22" s="11" t="s">
        <v>123</v>
      </c>
      <c r="J22" s="11" t="s">
        <v>66</v>
      </c>
      <c r="K22" s="6"/>
      <c r="L22" s="6"/>
      <c r="M22" s="6"/>
      <c r="N22" s="4"/>
      <c r="O22" s="6"/>
    </row>
    <row r="23" spans="1:15" x14ac:dyDescent="0.2">
      <c r="A23" s="7" t="s">
        <v>121</v>
      </c>
      <c r="B23" s="22"/>
      <c r="C23" s="17"/>
      <c r="D23" s="5">
        <v>1770</v>
      </c>
      <c r="E23" s="4">
        <v>139.6</v>
      </c>
      <c r="F23" s="5">
        <v>139.5</v>
      </c>
      <c r="G23" s="4">
        <v>203.2</v>
      </c>
      <c r="H23" s="5">
        <v>203.2</v>
      </c>
      <c r="I23" s="11" t="s">
        <v>122</v>
      </c>
      <c r="J23" s="11" t="s">
        <v>66</v>
      </c>
      <c r="K23" s="6"/>
      <c r="L23" s="6"/>
      <c r="M23" s="6"/>
      <c r="N23" s="4"/>
      <c r="O23" s="6"/>
    </row>
    <row r="24" spans="1:15" x14ac:dyDescent="0.2">
      <c r="A24" s="7" t="s">
        <v>115</v>
      </c>
      <c r="B24" s="22">
        <v>3</v>
      </c>
      <c r="C24" s="17" t="s">
        <v>124</v>
      </c>
      <c r="D24" s="5">
        <v>1770</v>
      </c>
      <c r="E24" s="4">
        <v>290.5</v>
      </c>
      <c r="F24" s="5">
        <v>139.5</v>
      </c>
      <c r="G24" s="4">
        <v>330</v>
      </c>
      <c r="H24" s="5">
        <v>203.2</v>
      </c>
      <c r="I24" s="11" t="s">
        <v>67</v>
      </c>
      <c r="J24" s="11" t="s">
        <v>66</v>
      </c>
      <c r="K24" s="6"/>
      <c r="L24" s="6"/>
      <c r="M24" s="6">
        <v>1.353</v>
      </c>
      <c r="N24" s="4"/>
      <c r="O24" s="6"/>
    </row>
    <row r="25" spans="1:15" x14ac:dyDescent="0.2">
      <c r="A25" s="7" t="s">
        <v>130</v>
      </c>
      <c r="B25" s="22">
        <v>3</v>
      </c>
      <c r="C25" s="17" t="s">
        <v>125</v>
      </c>
      <c r="D25" s="5">
        <v>1770</v>
      </c>
      <c r="E25" s="4">
        <v>290.5</v>
      </c>
      <c r="F25" s="5">
        <v>139.5</v>
      </c>
      <c r="G25" s="4">
        <v>330</v>
      </c>
      <c r="H25" s="5">
        <v>203.2</v>
      </c>
      <c r="I25" s="11" t="s">
        <v>67</v>
      </c>
      <c r="J25" s="11" t="s">
        <v>66</v>
      </c>
      <c r="K25" s="6"/>
      <c r="L25" s="6"/>
      <c r="M25" s="6">
        <v>1.353</v>
      </c>
      <c r="N25" s="4"/>
      <c r="O25" s="6"/>
    </row>
    <row r="26" spans="1:15" x14ac:dyDescent="0.2">
      <c r="A26" s="7" t="s">
        <v>126</v>
      </c>
      <c r="B26" s="22">
        <v>3</v>
      </c>
      <c r="C26" s="17" t="s">
        <v>125</v>
      </c>
      <c r="D26" s="5">
        <v>1770</v>
      </c>
      <c r="E26" s="4">
        <v>290.5</v>
      </c>
      <c r="F26" s="5">
        <v>139.5</v>
      </c>
      <c r="G26" s="4">
        <v>330</v>
      </c>
      <c r="H26" s="5">
        <v>203.2</v>
      </c>
      <c r="I26" s="11" t="s">
        <v>67</v>
      </c>
      <c r="J26" s="11" t="s">
        <v>66</v>
      </c>
      <c r="K26" s="6"/>
      <c r="L26" s="6"/>
      <c r="M26" s="6">
        <v>1.353</v>
      </c>
      <c r="N26" s="4"/>
      <c r="O26" s="6"/>
    </row>
    <row r="27" spans="1:15" x14ac:dyDescent="0.2">
      <c r="A27" s="7" t="s">
        <v>128</v>
      </c>
      <c r="B27" s="22">
        <v>3</v>
      </c>
      <c r="C27" s="17" t="s">
        <v>124</v>
      </c>
      <c r="D27" s="5">
        <v>1770</v>
      </c>
      <c r="E27" s="4">
        <v>290.5</v>
      </c>
      <c r="F27" s="5">
        <v>139.5</v>
      </c>
      <c r="G27" s="4">
        <v>330</v>
      </c>
      <c r="H27" s="5">
        <v>203.2</v>
      </c>
      <c r="I27" s="11" t="s">
        <v>67</v>
      </c>
      <c r="J27" s="11" t="s">
        <v>66</v>
      </c>
      <c r="K27" s="6"/>
      <c r="L27" s="6"/>
      <c r="M27" s="6">
        <v>1.353</v>
      </c>
      <c r="N27" s="4"/>
      <c r="O27" s="6"/>
    </row>
    <row r="28" spans="1:15" x14ac:dyDescent="0.2">
      <c r="A28" s="7" t="s">
        <v>131</v>
      </c>
      <c r="B28" s="22">
        <v>3</v>
      </c>
      <c r="C28" s="17" t="s">
        <v>125</v>
      </c>
      <c r="D28" s="5">
        <v>1770</v>
      </c>
      <c r="E28" s="4">
        <v>290.5</v>
      </c>
      <c r="F28" s="5">
        <v>139.5</v>
      </c>
      <c r="G28" s="4">
        <v>330</v>
      </c>
      <c r="H28" s="5">
        <v>203.2</v>
      </c>
      <c r="I28" s="11" t="s">
        <v>67</v>
      </c>
      <c r="J28" s="11" t="s">
        <v>66</v>
      </c>
      <c r="K28" s="6"/>
      <c r="L28" s="6"/>
      <c r="M28" s="6">
        <v>1.353</v>
      </c>
      <c r="N28" s="4"/>
      <c r="O28" s="6"/>
    </row>
    <row r="29" spans="1:15" x14ac:dyDescent="0.2">
      <c r="A29" s="7" t="s">
        <v>116</v>
      </c>
      <c r="B29" s="22">
        <v>3</v>
      </c>
      <c r="C29" s="17" t="s">
        <v>124</v>
      </c>
      <c r="D29" s="5">
        <v>1770</v>
      </c>
      <c r="E29" s="4">
        <v>290.5</v>
      </c>
      <c r="F29" s="5">
        <v>139.5</v>
      </c>
      <c r="G29" s="4">
        <v>330</v>
      </c>
      <c r="H29" s="5">
        <v>203.2</v>
      </c>
      <c r="I29" s="11" t="s">
        <v>67</v>
      </c>
      <c r="J29" s="11" t="s">
        <v>66</v>
      </c>
      <c r="K29" s="6"/>
      <c r="L29" s="6"/>
      <c r="M29" s="6">
        <v>1.353</v>
      </c>
      <c r="N29" s="4"/>
      <c r="O29" s="6"/>
    </row>
    <row r="30" spans="1:15" x14ac:dyDescent="0.2">
      <c r="A30" s="7" t="s">
        <v>132</v>
      </c>
      <c r="B30" s="22">
        <v>3</v>
      </c>
      <c r="C30" s="17" t="s">
        <v>125</v>
      </c>
      <c r="D30" s="5">
        <v>1770</v>
      </c>
      <c r="E30" s="4">
        <v>290.5</v>
      </c>
      <c r="F30" s="5">
        <v>139.5</v>
      </c>
      <c r="G30" s="4">
        <v>330</v>
      </c>
      <c r="H30" s="5">
        <v>203.2</v>
      </c>
      <c r="I30" s="11" t="s">
        <v>67</v>
      </c>
      <c r="J30" s="11" t="s">
        <v>66</v>
      </c>
      <c r="K30" s="6"/>
      <c r="L30" s="6"/>
      <c r="M30" s="6">
        <v>1.353</v>
      </c>
      <c r="N30" s="4"/>
      <c r="O30" s="6"/>
    </row>
    <row r="31" spans="1:15" x14ac:dyDescent="0.2">
      <c r="A31" s="7" t="s">
        <v>127</v>
      </c>
      <c r="B31" s="22">
        <v>3</v>
      </c>
      <c r="C31" s="17" t="s">
        <v>125</v>
      </c>
      <c r="D31" s="5">
        <v>1770</v>
      </c>
      <c r="E31" s="4">
        <v>290.5</v>
      </c>
      <c r="F31" s="5">
        <v>139.5</v>
      </c>
      <c r="G31" s="4">
        <v>330</v>
      </c>
      <c r="H31" s="5">
        <v>203.2</v>
      </c>
      <c r="I31" s="11" t="s">
        <v>67</v>
      </c>
      <c r="J31" s="11" t="s">
        <v>66</v>
      </c>
      <c r="K31" s="6"/>
      <c r="L31" s="6"/>
      <c r="M31" s="6">
        <v>1.353</v>
      </c>
      <c r="N31" s="4"/>
      <c r="O31" s="6"/>
    </row>
    <row r="32" spans="1:15" x14ac:dyDescent="0.2">
      <c r="A32" s="7" t="s">
        <v>129</v>
      </c>
      <c r="B32" s="22">
        <v>3</v>
      </c>
      <c r="C32" s="17" t="s">
        <v>124</v>
      </c>
      <c r="D32" s="5">
        <v>1770</v>
      </c>
      <c r="E32" s="4">
        <v>290.5</v>
      </c>
      <c r="F32" s="5">
        <v>139.5</v>
      </c>
      <c r="G32" s="4">
        <v>330</v>
      </c>
      <c r="H32" s="5">
        <v>203.2</v>
      </c>
      <c r="I32" s="11" t="s">
        <v>67</v>
      </c>
      <c r="J32" s="11" t="s">
        <v>66</v>
      </c>
      <c r="K32" s="6"/>
      <c r="L32" s="6"/>
      <c r="M32" s="6">
        <v>1.353</v>
      </c>
      <c r="N32" s="4"/>
      <c r="O32" s="6"/>
    </row>
    <row r="33" spans="1:15" ht="13.5" thickBot="1" x14ac:dyDescent="0.25">
      <c r="A33" s="7" t="s">
        <v>133</v>
      </c>
      <c r="B33" s="22">
        <v>3</v>
      </c>
      <c r="C33" s="17" t="s">
        <v>125</v>
      </c>
      <c r="D33" s="5">
        <v>1770</v>
      </c>
      <c r="E33" s="4">
        <v>290.5</v>
      </c>
      <c r="F33" s="5">
        <v>139.5</v>
      </c>
      <c r="G33" s="4">
        <v>330</v>
      </c>
      <c r="H33" s="5">
        <v>203.2</v>
      </c>
      <c r="I33" s="11" t="s">
        <v>67</v>
      </c>
      <c r="J33" s="11" t="s">
        <v>66</v>
      </c>
      <c r="K33" s="6"/>
      <c r="L33" s="6"/>
      <c r="M33" s="6">
        <v>1.353</v>
      </c>
      <c r="N33" s="4"/>
      <c r="O33" s="6"/>
    </row>
    <row r="34" spans="1:15" x14ac:dyDescent="0.2">
      <c r="A34" s="88" t="s">
        <v>169</v>
      </c>
      <c r="B34" s="89"/>
      <c r="C34" s="90"/>
      <c r="D34" s="91"/>
      <c r="E34" s="90"/>
      <c r="F34" s="91"/>
      <c r="G34" s="90"/>
      <c r="H34" s="91"/>
      <c r="I34" s="90"/>
      <c r="J34" s="91"/>
      <c r="K34" s="89"/>
      <c r="L34" s="89"/>
      <c r="M34" s="89"/>
      <c r="N34" s="89"/>
      <c r="O34" s="89"/>
    </row>
    <row r="35" spans="1:15" x14ac:dyDescent="0.2">
      <c r="A35" s="21" t="s">
        <v>168</v>
      </c>
      <c r="B35" s="7">
        <v>2</v>
      </c>
      <c r="C35" s="32">
        <v>1722</v>
      </c>
      <c r="D35" s="5">
        <v>1770</v>
      </c>
      <c r="E35" s="4">
        <v>290.5</v>
      </c>
      <c r="F35" s="33" t="s">
        <v>173</v>
      </c>
      <c r="G35" s="4">
        <v>330</v>
      </c>
      <c r="H35" s="5">
        <v>203.2</v>
      </c>
      <c r="I35" s="40" t="s">
        <v>67</v>
      </c>
      <c r="J35" s="9" t="s">
        <v>174</v>
      </c>
      <c r="K35" s="35"/>
      <c r="L35" s="35"/>
      <c r="M35" s="6">
        <v>1.361</v>
      </c>
      <c r="N35" s="35"/>
      <c r="O35" s="35"/>
    </row>
    <row r="36" spans="1:15" x14ac:dyDescent="0.2">
      <c r="A36" s="21" t="s">
        <v>170</v>
      </c>
      <c r="B36" s="7">
        <v>2</v>
      </c>
      <c r="C36" s="32">
        <v>1722</v>
      </c>
      <c r="D36" s="5">
        <v>1770</v>
      </c>
      <c r="E36" s="4">
        <v>290.5</v>
      </c>
      <c r="F36" s="33" t="s">
        <v>173</v>
      </c>
      <c r="G36" s="4">
        <v>330</v>
      </c>
      <c r="H36" s="5">
        <v>203.2</v>
      </c>
      <c r="I36" s="40" t="s">
        <v>67</v>
      </c>
      <c r="J36" s="9" t="s">
        <v>174</v>
      </c>
      <c r="K36" s="35"/>
      <c r="L36" s="35"/>
      <c r="M36" s="6">
        <v>1.361</v>
      </c>
      <c r="N36" s="35"/>
      <c r="O36" s="35"/>
    </row>
    <row r="37" spans="1:15" ht="13.5" thickBot="1" x14ac:dyDescent="0.25">
      <c r="A37" s="21" t="s">
        <v>171</v>
      </c>
      <c r="B37" s="58">
        <v>2</v>
      </c>
      <c r="C37" s="39">
        <v>1722</v>
      </c>
      <c r="D37" s="53">
        <v>1770</v>
      </c>
      <c r="E37" s="59">
        <v>290.5</v>
      </c>
      <c r="F37" s="34" t="s">
        <v>173</v>
      </c>
      <c r="G37" s="59">
        <v>330</v>
      </c>
      <c r="H37" s="53">
        <v>203.2</v>
      </c>
      <c r="I37" s="60" t="s">
        <v>67</v>
      </c>
      <c r="J37" s="56" t="s">
        <v>174</v>
      </c>
      <c r="K37" s="38"/>
      <c r="L37" s="38"/>
      <c r="M37" s="57">
        <v>1.361</v>
      </c>
      <c r="N37" s="38"/>
      <c r="O37" s="38"/>
    </row>
    <row r="38" spans="1:15" x14ac:dyDescent="0.2">
      <c r="A38" s="21"/>
    </row>
    <row r="39" spans="1:15" x14ac:dyDescent="0.2">
      <c r="A39" s="21"/>
    </row>
  </sheetData>
  <sheetProtection password="D243" sheet="1" objects="1" scenarios="1"/>
  <mergeCells count="2">
    <mergeCell ref="A1:J2"/>
    <mergeCell ref="K1:O2"/>
  </mergeCells>
  <phoneticPr fontId="14" type="noConversion"/>
  <printOptions gridLines="1"/>
  <pageMargins left="0.24" right="0.28000000000000003" top="1" bottom="1" header="0.5" footer="0.5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O62"/>
  <sheetViews>
    <sheetView topLeftCell="A3" zoomScale="75" workbookViewId="0">
      <pane ySplit="870" topLeftCell="A25" activePane="bottomLeft"/>
      <selection activeCell="O17" sqref="O17"/>
      <selection pane="bottomLeft" activeCell="O17" sqref="O17"/>
    </sheetView>
  </sheetViews>
  <sheetFormatPr defaultRowHeight="12.75" x14ac:dyDescent="0.2"/>
  <cols>
    <col min="1" max="1" width="12.5703125" customWidth="1"/>
    <col min="2" max="2" width="14.140625" customWidth="1"/>
    <col min="3" max="3" width="8.28515625" customWidth="1"/>
    <col min="4" max="4" width="10.42578125" customWidth="1"/>
    <col min="5" max="5" width="8" customWidth="1"/>
    <col min="6" max="6" width="10.7109375" customWidth="1"/>
    <col min="7" max="7" width="8" customWidth="1"/>
    <col min="8" max="8" width="10.7109375" customWidth="1"/>
    <col min="11" max="11" width="13.85546875" customWidth="1"/>
    <col min="12" max="12" width="16.42578125" customWidth="1"/>
    <col min="13" max="13" width="14.28515625" customWidth="1"/>
    <col min="14" max="14" width="10.28515625" customWidth="1"/>
    <col min="15" max="15" width="13.85546875" customWidth="1"/>
  </cols>
  <sheetData>
    <row r="1" spans="1:15" ht="12.75" customHeight="1" x14ac:dyDescent="0.25">
      <c r="B1" s="265" t="s">
        <v>0</v>
      </c>
      <c r="C1" s="266"/>
      <c r="D1" s="266"/>
      <c r="E1" s="266"/>
      <c r="F1" s="266"/>
      <c r="G1" s="266"/>
      <c r="H1" s="266"/>
      <c r="I1" s="266"/>
      <c r="J1" s="267"/>
      <c r="K1" s="265" t="s">
        <v>1</v>
      </c>
      <c r="L1" s="266"/>
      <c r="M1" s="266"/>
      <c r="N1" s="92"/>
      <c r="O1" s="93"/>
    </row>
    <row r="2" spans="1:15" ht="13.5" customHeight="1" thickBot="1" x14ac:dyDescent="0.3">
      <c r="B2" s="268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  <c r="N2" s="32"/>
      <c r="O2" s="93"/>
    </row>
    <row r="3" spans="1:15" ht="18.75" thickBot="1" x14ac:dyDescent="0.3">
      <c r="A3" s="94" t="s">
        <v>191</v>
      </c>
      <c r="B3" s="26" t="s">
        <v>2</v>
      </c>
      <c r="C3" s="350" t="s">
        <v>3</v>
      </c>
      <c r="D3" s="351"/>
      <c r="E3" s="352" t="s">
        <v>4</v>
      </c>
      <c r="F3" s="353"/>
      <c r="G3" s="352" t="s">
        <v>5</v>
      </c>
      <c r="H3" s="353"/>
      <c r="I3" s="350" t="s">
        <v>6</v>
      </c>
      <c r="J3" s="351"/>
      <c r="K3" s="352" t="s">
        <v>192</v>
      </c>
      <c r="L3" s="354"/>
      <c r="M3" s="354"/>
      <c r="N3" s="95"/>
      <c r="O3" s="93"/>
    </row>
    <row r="4" spans="1:15" ht="13.5" thickBot="1" x14ac:dyDescent="0.25">
      <c r="B4" s="47"/>
      <c r="C4" s="96" t="s">
        <v>11</v>
      </c>
      <c r="D4" s="97" t="s">
        <v>12</v>
      </c>
      <c r="E4" s="98" t="s">
        <v>11</v>
      </c>
      <c r="F4" s="97" t="s">
        <v>12</v>
      </c>
      <c r="G4" s="98" t="s">
        <v>11</v>
      </c>
      <c r="H4" s="97" t="s">
        <v>12</v>
      </c>
      <c r="I4" s="96" t="s">
        <v>11</v>
      </c>
      <c r="J4" s="97" t="s">
        <v>12</v>
      </c>
      <c r="K4" s="97" t="s">
        <v>193</v>
      </c>
      <c r="L4" s="97" t="s">
        <v>194</v>
      </c>
      <c r="M4" s="99" t="s">
        <v>194</v>
      </c>
      <c r="N4" s="4"/>
      <c r="O4" s="1"/>
    </row>
    <row r="5" spans="1:15" ht="13.5" thickBot="1" x14ac:dyDescent="0.25">
      <c r="B5" s="47"/>
      <c r="C5" s="49"/>
      <c r="D5" s="29" t="s">
        <v>195</v>
      </c>
      <c r="E5" s="50"/>
      <c r="F5" s="29" t="s">
        <v>195</v>
      </c>
      <c r="G5" s="50"/>
      <c r="H5" s="29" t="s">
        <v>195</v>
      </c>
      <c r="I5" s="100"/>
      <c r="J5" s="29"/>
      <c r="K5" s="348" t="s">
        <v>196</v>
      </c>
      <c r="L5" s="349"/>
      <c r="M5" s="48" t="s">
        <v>197</v>
      </c>
      <c r="N5" s="4"/>
      <c r="O5" s="1"/>
    </row>
    <row r="6" spans="1:15" x14ac:dyDescent="0.2">
      <c r="A6" s="101" t="s">
        <v>169</v>
      </c>
      <c r="B6" s="102" t="s">
        <v>198</v>
      </c>
      <c r="C6" s="103" t="s">
        <v>125</v>
      </c>
      <c r="D6" s="104" t="s">
        <v>199</v>
      </c>
      <c r="E6" s="105">
        <v>290</v>
      </c>
      <c r="F6" s="106" t="s">
        <v>200</v>
      </c>
      <c r="G6" s="105">
        <v>330</v>
      </c>
      <c r="H6" s="106" t="s">
        <v>201</v>
      </c>
      <c r="I6" s="107" t="s">
        <v>67</v>
      </c>
      <c r="J6" s="108" t="s">
        <v>66</v>
      </c>
      <c r="K6" s="109" t="s">
        <v>202</v>
      </c>
      <c r="L6" s="109" t="s">
        <v>203</v>
      </c>
      <c r="M6" s="103"/>
      <c r="N6" s="110"/>
      <c r="O6" s="111"/>
    </row>
    <row r="7" spans="1:15" x14ac:dyDescent="0.2">
      <c r="A7" s="112"/>
      <c r="B7" s="102" t="s">
        <v>204</v>
      </c>
      <c r="C7" s="103" t="s">
        <v>125</v>
      </c>
      <c r="D7" s="104" t="s">
        <v>199</v>
      </c>
      <c r="E7" s="105">
        <v>290</v>
      </c>
      <c r="F7" s="106" t="s">
        <v>200</v>
      </c>
      <c r="G7" s="105">
        <v>330</v>
      </c>
      <c r="H7" s="106" t="s">
        <v>201</v>
      </c>
      <c r="I7" s="107" t="s">
        <v>67</v>
      </c>
      <c r="J7" s="108" t="s">
        <v>66</v>
      </c>
      <c r="K7" s="109" t="s">
        <v>202</v>
      </c>
      <c r="L7" s="109">
        <v>1.353</v>
      </c>
      <c r="M7" s="103"/>
      <c r="N7" s="110"/>
      <c r="O7" s="111"/>
    </row>
    <row r="8" spans="1:15" x14ac:dyDescent="0.2">
      <c r="A8" s="112"/>
      <c r="B8" s="102" t="s">
        <v>205</v>
      </c>
      <c r="C8" s="103" t="s">
        <v>125</v>
      </c>
      <c r="D8" s="104" t="s">
        <v>199</v>
      </c>
      <c r="E8" s="105">
        <v>290</v>
      </c>
      <c r="F8" s="106" t="s">
        <v>200</v>
      </c>
      <c r="G8" s="105">
        <v>330</v>
      </c>
      <c r="H8" s="106" t="s">
        <v>201</v>
      </c>
      <c r="I8" s="107" t="s">
        <v>67</v>
      </c>
      <c r="J8" s="108" t="s">
        <v>66</v>
      </c>
      <c r="K8" s="113" t="s">
        <v>206</v>
      </c>
      <c r="L8" s="109">
        <v>1.353</v>
      </c>
      <c r="M8" s="103"/>
      <c r="N8" s="110"/>
      <c r="O8" s="111"/>
    </row>
    <row r="9" spans="1:15" x14ac:dyDescent="0.2">
      <c r="A9" s="112"/>
      <c r="B9" s="102" t="s">
        <v>207</v>
      </c>
      <c r="C9" s="103" t="s">
        <v>125</v>
      </c>
      <c r="D9" s="104" t="s">
        <v>199</v>
      </c>
      <c r="E9" s="105">
        <v>290</v>
      </c>
      <c r="F9" s="106" t="s">
        <v>200</v>
      </c>
      <c r="G9" s="105">
        <v>330</v>
      </c>
      <c r="H9" s="106" t="s">
        <v>201</v>
      </c>
      <c r="I9" s="107" t="s">
        <v>67</v>
      </c>
      <c r="J9" s="108" t="s">
        <v>66</v>
      </c>
      <c r="K9" s="113" t="s">
        <v>206</v>
      </c>
      <c r="L9" s="109">
        <v>1.353</v>
      </c>
      <c r="M9" s="103"/>
      <c r="N9" s="110"/>
      <c r="O9" s="111"/>
    </row>
    <row r="10" spans="1:15" x14ac:dyDescent="0.2">
      <c r="B10" s="21"/>
      <c r="C10" s="111"/>
      <c r="D10" s="16"/>
      <c r="E10" s="1"/>
      <c r="F10" s="1"/>
      <c r="G10" s="1"/>
      <c r="H10" s="1"/>
      <c r="I10" s="111"/>
      <c r="J10" s="111"/>
      <c r="K10" s="111"/>
      <c r="L10" s="111"/>
      <c r="M10" s="111"/>
      <c r="N10" s="110"/>
      <c r="O10" s="111"/>
    </row>
    <row r="11" spans="1:15" x14ac:dyDescent="0.2">
      <c r="A11" s="94" t="s">
        <v>172</v>
      </c>
      <c r="B11" s="7" t="s">
        <v>198</v>
      </c>
      <c r="C11" s="110" t="s">
        <v>125</v>
      </c>
      <c r="D11" s="8" t="s">
        <v>199</v>
      </c>
      <c r="E11" s="4">
        <v>290</v>
      </c>
      <c r="F11" s="5" t="s">
        <v>200</v>
      </c>
      <c r="G11" s="4">
        <v>330</v>
      </c>
      <c r="H11" s="5" t="s">
        <v>201</v>
      </c>
      <c r="I11" s="111" t="s">
        <v>67</v>
      </c>
      <c r="J11" s="114" t="s">
        <v>66</v>
      </c>
      <c r="K11" s="115"/>
      <c r="L11" s="115">
        <v>1.353</v>
      </c>
      <c r="M11" s="110"/>
      <c r="N11" s="110"/>
      <c r="O11" s="111"/>
    </row>
    <row r="12" spans="1:15" x14ac:dyDescent="0.2">
      <c r="B12" s="7" t="s">
        <v>204</v>
      </c>
      <c r="C12" s="110" t="s">
        <v>125</v>
      </c>
      <c r="D12" s="8" t="s">
        <v>199</v>
      </c>
      <c r="E12" s="4">
        <v>290</v>
      </c>
      <c r="F12" s="5" t="s">
        <v>200</v>
      </c>
      <c r="G12" s="4">
        <v>330</v>
      </c>
      <c r="H12" s="5" t="s">
        <v>201</v>
      </c>
      <c r="I12" s="111" t="s">
        <v>67</v>
      </c>
      <c r="J12" s="114" t="s">
        <v>66</v>
      </c>
      <c r="K12" s="115"/>
      <c r="L12" s="115">
        <v>1.353</v>
      </c>
      <c r="M12" s="110"/>
      <c r="N12" s="110"/>
      <c r="O12" s="111"/>
    </row>
    <row r="13" spans="1:15" x14ac:dyDescent="0.2">
      <c r="B13" s="7" t="s">
        <v>205</v>
      </c>
      <c r="C13" s="110" t="s">
        <v>208</v>
      </c>
      <c r="D13" s="8" t="s">
        <v>199</v>
      </c>
      <c r="E13" s="4">
        <v>290</v>
      </c>
      <c r="F13" s="5" t="s">
        <v>200</v>
      </c>
      <c r="G13" s="4">
        <v>330</v>
      </c>
      <c r="H13" s="5" t="s">
        <v>201</v>
      </c>
      <c r="I13" s="111" t="s">
        <v>67</v>
      </c>
      <c r="J13" s="114" t="s">
        <v>66</v>
      </c>
      <c r="K13" s="115"/>
      <c r="L13" s="115">
        <v>1.353</v>
      </c>
      <c r="M13" s="110"/>
      <c r="N13" s="110"/>
      <c r="O13" s="111"/>
    </row>
    <row r="14" spans="1:15" x14ac:dyDescent="0.2">
      <c r="B14" s="7" t="s">
        <v>207</v>
      </c>
      <c r="C14" s="4" t="s">
        <v>208</v>
      </c>
      <c r="D14" s="8" t="s">
        <v>199</v>
      </c>
      <c r="E14" s="4">
        <v>290</v>
      </c>
      <c r="F14" s="5" t="s">
        <v>200</v>
      </c>
      <c r="G14" s="4">
        <v>330</v>
      </c>
      <c r="H14" s="5" t="s">
        <v>201</v>
      </c>
      <c r="I14" s="1" t="s">
        <v>67</v>
      </c>
      <c r="J14" s="5" t="s">
        <v>66</v>
      </c>
      <c r="K14" s="6"/>
      <c r="L14" s="6">
        <v>1.353</v>
      </c>
      <c r="M14" s="4"/>
      <c r="N14" s="4"/>
      <c r="O14" s="1"/>
    </row>
    <row r="15" spans="1:15" x14ac:dyDescent="0.2">
      <c r="B15" s="7" t="s">
        <v>209</v>
      </c>
      <c r="C15" s="4" t="s">
        <v>208</v>
      </c>
      <c r="D15" s="8" t="s">
        <v>199</v>
      </c>
      <c r="E15" s="4">
        <v>290</v>
      </c>
      <c r="F15" s="5" t="s">
        <v>200</v>
      </c>
      <c r="G15" s="4">
        <v>330</v>
      </c>
      <c r="H15" s="5" t="s">
        <v>201</v>
      </c>
      <c r="I15" s="1" t="s">
        <v>67</v>
      </c>
      <c r="J15" s="5" t="s">
        <v>66</v>
      </c>
      <c r="K15" s="6"/>
      <c r="L15" s="6">
        <v>1.353</v>
      </c>
      <c r="M15" s="4"/>
      <c r="N15" s="4" t="s">
        <v>240</v>
      </c>
      <c r="O15" s="1"/>
    </row>
    <row r="16" spans="1:15" x14ac:dyDescent="0.2">
      <c r="B16" s="21"/>
      <c r="C16" s="1"/>
      <c r="D16" s="16"/>
      <c r="E16" s="1"/>
      <c r="F16" s="1"/>
      <c r="G16" s="1"/>
      <c r="H16" s="1"/>
      <c r="I16" s="1"/>
      <c r="J16" s="1"/>
      <c r="K16" s="1"/>
      <c r="L16" s="1"/>
      <c r="M16" s="1"/>
      <c r="N16" s="4"/>
      <c r="O16" s="1"/>
    </row>
    <row r="17" spans="1:15" x14ac:dyDescent="0.2">
      <c r="B17" s="7" t="s">
        <v>210</v>
      </c>
      <c r="C17" s="4" t="s">
        <v>208</v>
      </c>
      <c r="D17" s="8" t="s">
        <v>199</v>
      </c>
      <c r="E17" s="4" t="s">
        <v>211</v>
      </c>
      <c r="F17" s="5" t="s">
        <v>200</v>
      </c>
      <c r="G17" s="4" t="s">
        <v>212</v>
      </c>
      <c r="H17" s="5" t="s">
        <v>201</v>
      </c>
      <c r="I17" s="1" t="s">
        <v>67</v>
      </c>
      <c r="J17" s="5" t="s">
        <v>66</v>
      </c>
      <c r="K17" s="6"/>
      <c r="L17" s="6">
        <v>1.353</v>
      </c>
      <c r="M17" s="4"/>
      <c r="N17" s="4"/>
      <c r="O17" s="1"/>
    </row>
    <row r="18" spans="1:15" x14ac:dyDescent="0.2">
      <c r="B18" s="7" t="s">
        <v>213</v>
      </c>
      <c r="C18" s="4" t="s">
        <v>208</v>
      </c>
      <c r="D18" s="8" t="s">
        <v>199</v>
      </c>
      <c r="E18" s="4" t="s">
        <v>211</v>
      </c>
      <c r="F18" s="5" t="s">
        <v>200</v>
      </c>
      <c r="G18" s="4" t="s">
        <v>212</v>
      </c>
      <c r="H18" s="5" t="s">
        <v>201</v>
      </c>
      <c r="I18" s="1" t="s">
        <v>67</v>
      </c>
      <c r="J18" s="5" t="s">
        <v>66</v>
      </c>
      <c r="K18" s="6"/>
      <c r="L18" s="6">
        <v>1.353</v>
      </c>
      <c r="M18" s="4"/>
      <c r="N18" s="4"/>
      <c r="O18" s="1"/>
    </row>
    <row r="19" spans="1:15" x14ac:dyDescent="0.2">
      <c r="B19" s="7" t="s">
        <v>214</v>
      </c>
      <c r="C19" s="4" t="s">
        <v>208</v>
      </c>
      <c r="D19" s="8" t="s">
        <v>199</v>
      </c>
      <c r="E19" s="4" t="s">
        <v>211</v>
      </c>
      <c r="F19" s="5" t="s">
        <v>200</v>
      </c>
      <c r="G19" s="4" t="s">
        <v>212</v>
      </c>
      <c r="H19" s="5" t="s">
        <v>201</v>
      </c>
      <c r="I19" s="1" t="s">
        <v>67</v>
      </c>
      <c r="J19" s="5" t="s">
        <v>66</v>
      </c>
      <c r="K19" s="6"/>
      <c r="L19" s="6">
        <v>1.353</v>
      </c>
      <c r="M19" s="4"/>
      <c r="N19" s="4"/>
      <c r="O19" s="1"/>
    </row>
    <row r="20" spans="1:15" x14ac:dyDescent="0.2">
      <c r="B20" s="7" t="s">
        <v>215</v>
      </c>
      <c r="C20" s="4" t="s">
        <v>208</v>
      </c>
      <c r="D20" s="8" t="s">
        <v>199</v>
      </c>
      <c r="E20" s="4" t="s">
        <v>211</v>
      </c>
      <c r="F20" s="5" t="s">
        <v>200</v>
      </c>
      <c r="G20" s="4" t="s">
        <v>212</v>
      </c>
      <c r="H20" s="5" t="s">
        <v>201</v>
      </c>
      <c r="I20" s="1" t="s">
        <v>67</v>
      </c>
      <c r="J20" s="5" t="s">
        <v>66</v>
      </c>
      <c r="K20" s="6"/>
      <c r="L20" s="6">
        <v>1.353</v>
      </c>
      <c r="M20" s="4"/>
      <c r="N20" s="4"/>
      <c r="O20" s="1"/>
    </row>
    <row r="21" spans="1:15" x14ac:dyDescent="0.2">
      <c r="B21" s="7" t="s">
        <v>216</v>
      </c>
      <c r="C21" s="4" t="s">
        <v>208</v>
      </c>
      <c r="D21" s="8" t="s">
        <v>199</v>
      </c>
      <c r="E21" s="4" t="s">
        <v>211</v>
      </c>
      <c r="F21" s="5" t="s">
        <v>200</v>
      </c>
      <c r="G21" s="4" t="s">
        <v>212</v>
      </c>
      <c r="H21" s="5" t="s">
        <v>201</v>
      </c>
      <c r="I21" s="1" t="s">
        <v>67</v>
      </c>
      <c r="J21" s="5" t="s">
        <v>66</v>
      </c>
      <c r="K21" s="6"/>
      <c r="L21" s="6">
        <v>1.353</v>
      </c>
      <c r="M21" s="4"/>
      <c r="N21" s="4" t="s">
        <v>240</v>
      </c>
      <c r="O21" s="1"/>
    </row>
    <row r="22" spans="1:15" x14ac:dyDescent="0.2">
      <c r="B22" s="21"/>
      <c r="C22" s="1"/>
      <c r="D22" s="16"/>
      <c r="E22" s="1"/>
      <c r="F22" s="1"/>
      <c r="G22" s="1"/>
      <c r="H22" s="1"/>
      <c r="I22" s="1"/>
      <c r="J22" s="1"/>
      <c r="K22" s="1"/>
      <c r="L22" s="1"/>
      <c r="M22" s="1"/>
      <c r="N22" s="4"/>
      <c r="O22" s="1"/>
    </row>
    <row r="23" spans="1:15" x14ac:dyDescent="0.2">
      <c r="B23" s="7" t="s">
        <v>217</v>
      </c>
      <c r="C23" s="4" t="s">
        <v>208</v>
      </c>
      <c r="D23" s="8" t="s">
        <v>199</v>
      </c>
      <c r="E23" s="4" t="s">
        <v>211</v>
      </c>
      <c r="F23" s="5" t="s">
        <v>200</v>
      </c>
      <c r="G23" s="4" t="s">
        <v>212</v>
      </c>
      <c r="H23" s="5" t="s">
        <v>201</v>
      </c>
      <c r="I23" s="1" t="s">
        <v>67</v>
      </c>
      <c r="J23" s="5" t="s">
        <v>66</v>
      </c>
      <c r="K23" s="6"/>
      <c r="L23" s="6">
        <v>1.353</v>
      </c>
      <c r="M23" s="4"/>
      <c r="N23" s="4"/>
      <c r="O23" s="1"/>
    </row>
    <row r="24" spans="1:15" x14ac:dyDescent="0.2">
      <c r="B24" s="7" t="s">
        <v>218</v>
      </c>
      <c r="C24" s="4" t="s">
        <v>208</v>
      </c>
      <c r="D24" s="8" t="s">
        <v>199</v>
      </c>
      <c r="E24" s="4" t="s">
        <v>211</v>
      </c>
      <c r="F24" s="5" t="s">
        <v>200</v>
      </c>
      <c r="G24" s="4" t="s">
        <v>212</v>
      </c>
      <c r="H24" s="5" t="s">
        <v>201</v>
      </c>
      <c r="I24" s="1" t="s">
        <v>67</v>
      </c>
      <c r="J24" s="5" t="s">
        <v>66</v>
      </c>
      <c r="K24" s="6"/>
      <c r="L24" s="6">
        <v>1.353</v>
      </c>
      <c r="M24" s="4"/>
      <c r="N24" s="4"/>
      <c r="O24" s="1"/>
    </row>
    <row r="25" spans="1:15" x14ac:dyDescent="0.2">
      <c r="B25" s="7" t="s">
        <v>219</v>
      </c>
      <c r="C25" s="4" t="s">
        <v>208</v>
      </c>
      <c r="D25" s="8" t="s">
        <v>199</v>
      </c>
      <c r="E25" s="4" t="s">
        <v>211</v>
      </c>
      <c r="F25" s="5" t="s">
        <v>200</v>
      </c>
      <c r="G25" s="4" t="s">
        <v>212</v>
      </c>
      <c r="H25" s="5" t="s">
        <v>201</v>
      </c>
      <c r="I25" s="1" t="s">
        <v>67</v>
      </c>
      <c r="J25" s="5" t="s">
        <v>66</v>
      </c>
      <c r="K25" s="6"/>
      <c r="L25" s="6">
        <v>1.353</v>
      </c>
      <c r="M25" s="4"/>
      <c r="N25" s="4"/>
      <c r="O25" s="1"/>
    </row>
    <row r="26" spans="1:15" x14ac:dyDescent="0.2">
      <c r="B26" s="7" t="s">
        <v>220</v>
      </c>
      <c r="C26" s="4" t="s">
        <v>208</v>
      </c>
      <c r="D26" s="8" t="s">
        <v>199</v>
      </c>
      <c r="E26" s="4" t="s">
        <v>211</v>
      </c>
      <c r="F26" s="5" t="s">
        <v>200</v>
      </c>
      <c r="G26" s="4" t="s">
        <v>212</v>
      </c>
      <c r="H26" s="5" t="s">
        <v>201</v>
      </c>
      <c r="I26" s="1" t="s">
        <v>67</v>
      </c>
      <c r="J26" s="5" t="s">
        <v>66</v>
      </c>
      <c r="K26" s="6"/>
      <c r="L26" s="6">
        <v>1.353</v>
      </c>
      <c r="M26" s="4"/>
      <c r="N26" s="4"/>
      <c r="O26" s="1"/>
    </row>
    <row r="27" spans="1:15" x14ac:dyDescent="0.2">
      <c r="B27" s="7" t="s">
        <v>221</v>
      </c>
      <c r="C27" s="4" t="s">
        <v>208</v>
      </c>
      <c r="D27" s="8" t="s">
        <v>199</v>
      </c>
      <c r="E27" s="4" t="s">
        <v>211</v>
      </c>
      <c r="F27" s="5" t="s">
        <v>200</v>
      </c>
      <c r="G27" s="4" t="s">
        <v>212</v>
      </c>
      <c r="H27" s="5" t="s">
        <v>201</v>
      </c>
      <c r="I27" s="1" t="s">
        <v>67</v>
      </c>
      <c r="J27" s="5" t="s">
        <v>66</v>
      </c>
      <c r="K27" s="6"/>
      <c r="L27" s="6">
        <v>1.353</v>
      </c>
      <c r="M27" s="4"/>
      <c r="N27" s="4" t="s">
        <v>240</v>
      </c>
      <c r="O27" s="1"/>
    </row>
    <row r="28" spans="1:15" x14ac:dyDescent="0.2">
      <c r="B28" s="21"/>
      <c r="C28" s="1"/>
      <c r="D28" s="16"/>
      <c r="E28" s="1"/>
      <c r="F28" s="1"/>
      <c r="G28" s="1"/>
      <c r="H28" s="1"/>
      <c r="I28" s="1"/>
      <c r="J28" s="1"/>
      <c r="K28" s="1"/>
      <c r="L28" s="1"/>
      <c r="M28" s="1"/>
      <c r="N28" s="4"/>
      <c r="O28" s="1"/>
    </row>
    <row r="29" spans="1:15" x14ac:dyDescent="0.2">
      <c r="A29" s="94" t="s">
        <v>222</v>
      </c>
      <c r="B29" s="7" t="s">
        <v>204</v>
      </c>
      <c r="C29" s="4">
        <v>1890</v>
      </c>
      <c r="D29" s="8" t="s">
        <v>199</v>
      </c>
      <c r="E29" s="4">
        <v>290</v>
      </c>
      <c r="F29" s="5" t="s">
        <v>200</v>
      </c>
      <c r="G29" s="4">
        <v>330</v>
      </c>
      <c r="H29" s="5" t="s">
        <v>201</v>
      </c>
      <c r="I29" s="1" t="s">
        <v>67</v>
      </c>
      <c r="J29" s="5" t="s">
        <v>66</v>
      </c>
      <c r="K29" s="6"/>
      <c r="L29" s="6">
        <v>1.353</v>
      </c>
      <c r="M29" s="4"/>
      <c r="N29" s="4"/>
      <c r="O29" s="1"/>
    </row>
    <row r="30" spans="1:15" x14ac:dyDescent="0.2">
      <c r="B30" s="7" t="s">
        <v>205</v>
      </c>
      <c r="C30" s="4" t="s">
        <v>208</v>
      </c>
      <c r="D30" s="8" t="s">
        <v>281</v>
      </c>
      <c r="E30" s="4" t="s">
        <v>211</v>
      </c>
      <c r="F30" s="5" t="s">
        <v>200</v>
      </c>
      <c r="G30" s="4" t="s">
        <v>212</v>
      </c>
      <c r="H30" s="5" t="s">
        <v>201</v>
      </c>
      <c r="I30" s="1" t="s">
        <v>67</v>
      </c>
      <c r="J30" s="5" t="s">
        <v>66</v>
      </c>
      <c r="K30" s="6"/>
      <c r="L30" s="6"/>
      <c r="M30" s="4" t="s">
        <v>223</v>
      </c>
      <c r="N30" s="4"/>
      <c r="O30" s="1"/>
    </row>
    <row r="31" spans="1:15" x14ac:dyDescent="0.2">
      <c r="B31" s="7" t="s">
        <v>224</v>
      </c>
      <c r="C31" s="4">
        <v>1890</v>
      </c>
      <c r="D31" s="8" t="s">
        <v>199</v>
      </c>
      <c r="E31" s="4">
        <v>290</v>
      </c>
      <c r="F31" s="5" t="s">
        <v>200</v>
      </c>
      <c r="G31" s="4">
        <v>330</v>
      </c>
      <c r="H31" s="5" t="s">
        <v>201</v>
      </c>
      <c r="I31" s="1" t="s">
        <v>67</v>
      </c>
      <c r="J31" s="5" t="s">
        <v>66</v>
      </c>
      <c r="K31" s="6"/>
      <c r="L31" s="6">
        <v>1.353</v>
      </c>
      <c r="M31" s="4"/>
      <c r="N31" s="4"/>
      <c r="O31" s="1"/>
    </row>
    <row r="32" spans="1:15" x14ac:dyDescent="0.2">
      <c r="B32" s="7" t="s">
        <v>207</v>
      </c>
      <c r="C32" s="4" t="s">
        <v>208</v>
      </c>
      <c r="D32" s="8" t="s">
        <v>280</v>
      </c>
      <c r="E32" s="4" t="s">
        <v>211</v>
      </c>
      <c r="F32" s="5" t="s">
        <v>200</v>
      </c>
      <c r="G32" s="4" t="s">
        <v>212</v>
      </c>
      <c r="H32" s="5" t="s">
        <v>201</v>
      </c>
      <c r="I32" s="1" t="s">
        <v>67</v>
      </c>
      <c r="J32" s="1" t="s">
        <v>67</v>
      </c>
      <c r="K32" s="6"/>
      <c r="L32" s="6"/>
      <c r="M32" s="4" t="s">
        <v>223</v>
      </c>
      <c r="N32" s="4"/>
      <c r="O32" s="1"/>
    </row>
    <row r="33" spans="2:15" x14ac:dyDescent="0.2">
      <c r="B33" s="7" t="s">
        <v>225</v>
      </c>
      <c r="C33" s="4">
        <v>1890</v>
      </c>
      <c r="D33" s="8" t="s">
        <v>199</v>
      </c>
      <c r="E33" s="4">
        <v>290</v>
      </c>
      <c r="F33" s="5" t="s">
        <v>200</v>
      </c>
      <c r="G33" s="4">
        <v>330</v>
      </c>
      <c r="H33" s="5" t="s">
        <v>201</v>
      </c>
      <c r="I33" s="1" t="s">
        <v>67</v>
      </c>
      <c r="J33" s="1" t="s">
        <v>67</v>
      </c>
      <c r="K33" s="6"/>
      <c r="L33" s="6">
        <v>1.353</v>
      </c>
      <c r="M33" s="4"/>
      <c r="N33" s="4"/>
      <c r="O33" s="1"/>
    </row>
    <row r="34" spans="2:15" x14ac:dyDescent="0.2">
      <c r="B34" s="7" t="s">
        <v>209</v>
      </c>
      <c r="C34" s="4">
        <v>1890</v>
      </c>
      <c r="D34" s="8" t="s">
        <v>199</v>
      </c>
      <c r="E34" s="4">
        <v>290</v>
      </c>
      <c r="F34" s="5" t="s">
        <v>200</v>
      </c>
      <c r="G34" s="4">
        <v>330</v>
      </c>
      <c r="H34" s="5" t="s">
        <v>201</v>
      </c>
      <c r="I34" s="1" t="s">
        <v>67</v>
      </c>
      <c r="J34" s="1" t="s">
        <v>67</v>
      </c>
      <c r="K34" s="6"/>
      <c r="L34" s="6">
        <v>1.353</v>
      </c>
      <c r="M34" s="4"/>
      <c r="N34" s="4"/>
      <c r="O34" s="1"/>
    </row>
    <row r="35" spans="2:15" x14ac:dyDescent="0.2">
      <c r="B35" s="7" t="s">
        <v>209</v>
      </c>
      <c r="C35" s="4" t="s">
        <v>208</v>
      </c>
      <c r="D35" s="8" t="s">
        <v>280</v>
      </c>
      <c r="E35" s="4" t="s">
        <v>211</v>
      </c>
      <c r="F35" s="5" t="s">
        <v>200</v>
      </c>
      <c r="G35" s="4" t="s">
        <v>212</v>
      </c>
      <c r="H35" s="5" t="s">
        <v>201</v>
      </c>
      <c r="I35" s="1" t="s">
        <v>67</v>
      </c>
      <c r="J35" s="5" t="s">
        <v>66</v>
      </c>
      <c r="K35" s="6"/>
      <c r="L35" s="6"/>
      <c r="M35" s="4" t="s">
        <v>223</v>
      </c>
      <c r="N35" s="4" t="s">
        <v>239</v>
      </c>
      <c r="O35" s="1"/>
    </row>
    <row r="36" spans="2:15" x14ac:dyDescent="0.2">
      <c r="B36" s="7" t="s">
        <v>226</v>
      </c>
      <c r="C36" s="17" t="s">
        <v>227</v>
      </c>
      <c r="D36" s="8" t="s">
        <v>280</v>
      </c>
      <c r="E36" s="17" t="s">
        <v>228</v>
      </c>
      <c r="F36" s="5" t="s">
        <v>200</v>
      </c>
      <c r="G36" s="17" t="s">
        <v>229</v>
      </c>
      <c r="H36" s="8" t="s">
        <v>230</v>
      </c>
      <c r="I36" s="1" t="s">
        <v>67</v>
      </c>
      <c r="J36" s="5" t="s">
        <v>66</v>
      </c>
      <c r="K36" s="6"/>
      <c r="L36" s="10"/>
      <c r="M36" s="17" t="s">
        <v>231</v>
      </c>
      <c r="N36" s="4" t="s">
        <v>240</v>
      </c>
      <c r="O36" s="1"/>
    </row>
    <row r="37" spans="2:15" x14ac:dyDescent="0.2">
      <c r="B37" s="21"/>
      <c r="C37" s="1"/>
      <c r="D37" s="16"/>
      <c r="E37" s="1"/>
      <c r="F37" s="1"/>
      <c r="G37" s="1"/>
      <c r="H37" s="1"/>
      <c r="I37" s="1"/>
      <c r="J37" s="1"/>
      <c r="K37" s="1"/>
      <c r="L37" s="1"/>
      <c r="M37" s="1"/>
      <c r="N37" s="4"/>
      <c r="O37" s="1"/>
    </row>
    <row r="38" spans="2:15" x14ac:dyDescent="0.2">
      <c r="B38" s="7" t="s">
        <v>213</v>
      </c>
      <c r="C38" s="4" t="s">
        <v>208</v>
      </c>
      <c r="D38" s="8" t="s">
        <v>199</v>
      </c>
      <c r="E38" s="4" t="s">
        <v>211</v>
      </c>
      <c r="F38" s="5" t="s">
        <v>200</v>
      </c>
      <c r="G38" s="4" t="s">
        <v>212</v>
      </c>
      <c r="H38" s="5" t="s">
        <v>201</v>
      </c>
      <c r="I38" s="1" t="s">
        <v>67</v>
      </c>
      <c r="J38" s="5" t="s">
        <v>66</v>
      </c>
      <c r="K38" s="6"/>
      <c r="L38" s="6">
        <v>1.353</v>
      </c>
      <c r="M38" s="4"/>
      <c r="N38" s="4"/>
      <c r="O38" s="1"/>
    </row>
    <row r="39" spans="2:15" x14ac:dyDescent="0.2">
      <c r="B39" s="7" t="s">
        <v>214</v>
      </c>
      <c r="C39" s="4" t="s">
        <v>208</v>
      </c>
      <c r="D39" s="8" t="s">
        <v>281</v>
      </c>
      <c r="E39" s="4" t="s">
        <v>211</v>
      </c>
      <c r="F39" s="5" t="s">
        <v>200</v>
      </c>
      <c r="G39" s="4" t="s">
        <v>212</v>
      </c>
      <c r="H39" s="5" t="s">
        <v>201</v>
      </c>
      <c r="I39" s="1" t="s">
        <v>67</v>
      </c>
      <c r="J39" s="5" t="s">
        <v>66</v>
      </c>
      <c r="K39" s="6"/>
      <c r="L39" s="6"/>
      <c r="M39" s="4" t="s">
        <v>223</v>
      </c>
      <c r="N39" s="4"/>
      <c r="O39" s="1"/>
    </row>
    <row r="40" spans="2:15" x14ac:dyDescent="0.2">
      <c r="B40" s="7" t="s">
        <v>232</v>
      </c>
      <c r="C40" s="4" t="s">
        <v>208</v>
      </c>
      <c r="D40" s="8" t="s">
        <v>199</v>
      </c>
      <c r="E40" s="4" t="s">
        <v>211</v>
      </c>
      <c r="F40" s="5" t="s">
        <v>200</v>
      </c>
      <c r="G40" s="4" t="s">
        <v>212</v>
      </c>
      <c r="H40" s="5" t="s">
        <v>201</v>
      </c>
      <c r="I40" s="1" t="s">
        <v>67</v>
      </c>
      <c r="J40" s="5" t="s">
        <v>66</v>
      </c>
      <c r="K40" s="6"/>
      <c r="L40" s="6">
        <v>1.353</v>
      </c>
      <c r="M40" s="4"/>
      <c r="N40" s="4"/>
      <c r="O40" s="1"/>
    </row>
    <row r="41" spans="2:15" x14ac:dyDescent="0.2">
      <c r="B41" s="7" t="s">
        <v>215</v>
      </c>
      <c r="C41" s="4" t="s">
        <v>208</v>
      </c>
      <c r="D41" s="8" t="s">
        <v>281</v>
      </c>
      <c r="E41" s="4" t="s">
        <v>211</v>
      </c>
      <c r="F41" s="5" t="s">
        <v>200</v>
      </c>
      <c r="G41" s="4" t="s">
        <v>212</v>
      </c>
      <c r="H41" s="5" t="s">
        <v>201</v>
      </c>
      <c r="I41" s="1" t="s">
        <v>67</v>
      </c>
      <c r="J41" s="5" t="s">
        <v>66</v>
      </c>
      <c r="K41" s="1"/>
      <c r="L41" s="6"/>
      <c r="M41" s="4" t="s">
        <v>223</v>
      </c>
      <c r="N41" s="4"/>
      <c r="O41" s="1"/>
    </row>
    <row r="42" spans="2:15" x14ac:dyDescent="0.2">
      <c r="B42" s="7" t="s">
        <v>233</v>
      </c>
      <c r="C42" s="4" t="s">
        <v>208</v>
      </c>
      <c r="D42" s="8" t="s">
        <v>199</v>
      </c>
      <c r="E42" s="4" t="s">
        <v>211</v>
      </c>
      <c r="F42" s="5" t="s">
        <v>200</v>
      </c>
      <c r="G42" s="4" t="s">
        <v>212</v>
      </c>
      <c r="H42" s="5" t="s">
        <v>201</v>
      </c>
      <c r="I42" s="1" t="s">
        <v>67</v>
      </c>
      <c r="J42" s="5" t="s">
        <v>66</v>
      </c>
      <c r="L42" s="6">
        <v>1.353</v>
      </c>
      <c r="M42" s="4"/>
      <c r="N42" s="4"/>
    </row>
    <row r="43" spans="2:15" x14ac:dyDescent="0.2">
      <c r="B43" s="7" t="s">
        <v>216</v>
      </c>
      <c r="C43" s="4" t="s">
        <v>208</v>
      </c>
      <c r="D43" s="8" t="s">
        <v>199</v>
      </c>
      <c r="E43" s="4" t="s">
        <v>211</v>
      </c>
      <c r="F43" s="5" t="s">
        <v>200</v>
      </c>
      <c r="G43" s="4" t="s">
        <v>212</v>
      </c>
      <c r="H43" s="5" t="s">
        <v>201</v>
      </c>
      <c r="I43" s="1" t="s">
        <v>67</v>
      </c>
      <c r="J43" s="5" t="s">
        <v>66</v>
      </c>
      <c r="L43" s="6">
        <v>1.353</v>
      </c>
      <c r="M43" s="4"/>
      <c r="N43" s="4"/>
    </row>
    <row r="44" spans="2:15" x14ac:dyDescent="0.2">
      <c r="B44" s="7" t="s">
        <v>216</v>
      </c>
      <c r="C44" s="4" t="s">
        <v>208</v>
      </c>
      <c r="D44" s="8" t="s">
        <v>281</v>
      </c>
      <c r="E44" s="4" t="s">
        <v>211</v>
      </c>
      <c r="F44" s="5" t="s">
        <v>200</v>
      </c>
      <c r="G44" s="4" t="s">
        <v>212</v>
      </c>
      <c r="H44" s="5" t="s">
        <v>201</v>
      </c>
      <c r="I44" s="1" t="s">
        <v>67</v>
      </c>
      <c r="J44" s="5" t="s">
        <v>66</v>
      </c>
      <c r="L44" s="6"/>
      <c r="M44" s="4" t="s">
        <v>223</v>
      </c>
      <c r="N44" s="4" t="s">
        <v>240</v>
      </c>
    </row>
    <row r="45" spans="2:15" x14ac:dyDescent="0.2">
      <c r="B45" s="7" t="s">
        <v>234</v>
      </c>
      <c r="C45" s="17" t="s">
        <v>227</v>
      </c>
      <c r="D45" s="8" t="s">
        <v>281</v>
      </c>
      <c r="E45" s="17" t="s">
        <v>228</v>
      </c>
      <c r="F45" s="5" t="s">
        <v>200</v>
      </c>
      <c r="G45" s="17" t="s">
        <v>229</v>
      </c>
      <c r="H45" s="8" t="s">
        <v>230</v>
      </c>
      <c r="I45" s="1" t="s">
        <v>67</v>
      </c>
      <c r="J45" s="5" t="s">
        <v>66</v>
      </c>
      <c r="L45" s="10"/>
      <c r="M45" s="17" t="s">
        <v>231</v>
      </c>
      <c r="N45" s="32" t="s">
        <v>240</v>
      </c>
    </row>
    <row r="46" spans="2:15" x14ac:dyDescent="0.2">
      <c r="B46" s="22"/>
      <c r="D46" s="16"/>
      <c r="F46" s="1"/>
      <c r="H46" s="1"/>
      <c r="N46" s="32"/>
    </row>
    <row r="47" spans="2:15" x14ac:dyDescent="0.2">
      <c r="B47" s="7" t="s">
        <v>218</v>
      </c>
      <c r="C47" s="4" t="s">
        <v>208</v>
      </c>
      <c r="D47" s="8" t="s">
        <v>199</v>
      </c>
      <c r="E47" s="4" t="s">
        <v>211</v>
      </c>
      <c r="F47" s="5" t="s">
        <v>200</v>
      </c>
      <c r="G47" t="s">
        <v>212</v>
      </c>
      <c r="H47" s="5" t="s">
        <v>201</v>
      </c>
      <c r="I47" s="1" t="s">
        <v>67</v>
      </c>
      <c r="J47" s="5" t="s">
        <v>66</v>
      </c>
      <c r="L47" s="6">
        <v>1.353</v>
      </c>
      <c r="M47" s="4"/>
      <c r="N47" s="4"/>
    </row>
    <row r="48" spans="2:15" x14ac:dyDescent="0.2">
      <c r="B48" s="7" t="s">
        <v>219</v>
      </c>
      <c r="C48" s="4" t="s">
        <v>208</v>
      </c>
      <c r="D48" s="8" t="s">
        <v>281</v>
      </c>
      <c r="E48" s="4" t="s">
        <v>211</v>
      </c>
      <c r="F48" s="5" t="s">
        <v>200</v>
      </c>
      <c r="G48" t="s">
        <v>212</v>
      </c>
      <c r="H48" s="5" t="s">
        <v>201</v>
      </c>
      <c r="I48" s="1" t="s">
        <v>67</v>
      </c>
      <c r="J48" s="5" t="s">
        <v>66</v>
      </c>
      <c r="L48" s="6"/>
      <c r="M48" s="4" t="s">
        <v>223</v>
      </c>
      <c r="N48" s="4"/>
    </row>
    <row r="49" spans="2:15" x14ac:dyDescent="0.2">
      <c r="B49" s="7" t="s">
        <v>235</v>
      </c>
      <c r="C49" s="4" t="s">
        <v>208</v>
      </c>
      <c r="D49" s="8" t="s">
        <v>199</v>
      </c>
      <c r="E49" s="4" t="s">
        <v>211</v>
      </c>
      <c r="F49" s="5" t="s">
        <v>200</v>
      </c>
      <c r="G49" t="s">
        <v>212</v>
      </c>
      <c r="H49" s="5" t="s">
        <v>201</v>
      </c>
      <c r="I49" s="1" t="s">
        <v>67</v>
      </c>
      <c r="J49" s="5" t="s">
        <v>66</v>
      </c>
      <c r="L49" s="6">
        <v>1.353</v>
      </c>
      <c r="M49" s="4"/>
      <c r="N49" s="4"/>
    </row>
    <row r="50" spans="2:15" x14ac:dyDescent="0.2">
      <c r="B50" s="7" t="s">
        <v>220</v>
      </c>
      <c r="C50" s="4" t="s">
        <v>208</v>
      </c>
      <c r="D50" s="8" t="s">
        <v>281</v>
      </c>
      <c r="E50" s="4" t="s">
        <v>211</v>
      </c>
      <c r="F50" s="5" t="s">
        <v>200</v>
      </c>
      <c r="G50" t="s">
        <v>212</v>
      </c>
      <c r="H50" s="5" t="s">
        <v>201</v>
      </c>
      <c r="I50" s="1" t="s">
        <v>67</v>
      </c>
      <c r="J50" s="5" t="s">
        <v>66</v>
      </c>
      <c r="L50" s="6"/>
      <c r="M50" s="4" t="s">
        <v>223</v>
      </c>
      <c r="N50" s="4"/>
    </row>
    <row r="51" spans="2:15" x14ac:dyDescent="0.2">
      <c r="B51" s="7" t="s">
        <v>236</v>
      </c>
      <c r="C51" s="4" t="s">
        <v>208</v>
      </c>
      <c r="D51" s="8" t="s">
        <v>199</v>
      </c>
      <c r="E51" s="4" t="s">
        <v>211</v>
      </c>
      <c r="F51" s="5" t="s">
        <v>200</v>
      </c>
      <c r="G51" t="s">
        <v>212</v>
      </c>
      <c r="H51" s="5" t="s">
        <v>201</v>
      </c>
      <c r="I51" s="1" t="s">
        <v>67</v>
      </c>
      <c r="J51" s="5" t="s">
        <v>66</v>
      </c>
      <c r="L51" s="6">
        <v>1.353</v>
      </c>
      <c r="M51" s="4"/>
      <c r="N51" s="4"/>
    </row>
    <row r="52" spans="2:15" x14ac:dyDescent="0.2">
      <c r="B52" s="7" t="s">
        <v>221</v>
      </c>
      <c r="C52" s="4" t="s">
        <v>208</v>
      </c>
      <c r="D52" s="8" t="s">
        <v>199</v>
      </c>
      <c r="E52" s="4" t="s">
        <v>211</v>
      </c>
      <c r="F52" s="5" t="s">
        <v>200</v>
      </c>
      <c r="G52" t="s">
        <v>212</v>
      </c>
      <c r="H52" s="5" t="s">
        <v>201</v>
      </c>
      <c r="I52" s="1" t="s">
        <v>67</v>
      </c>
      <c r="J52" s="5" t="s">
        <v>66</v>
      </c>
      <c r="L52" s="6">
        <v>1.353</v>
      </c>
      <c r="M52" s="4"/>
      <c r="N52" s="4"/>
    </row>
    <row r="53" spans="2:15" x14ac:dyDescent="0.2">
      <c r="B53" s="7" t="s">
        <v>221</v>
      </c>
      <c r="C53" s="4" t="s">
        <v>208</v>
      </c>
      <c r="D53" s="8" t="s">
        <v>281</v>
      </c>
      <c r="E53" s="4" t="s">
        <v>211</v>
      </c>
      <c r="F53" s="5" t="s">
        <v>200</v>
      </c>
      <c r="G53" t="s">
        <v>212</v>
      </c>
      <c r="H53" s="5" t="s">
        <v>201</v>
      </c>
      <c r="I53" s="1" t="s">
        <v>67</v>
      </c>
      <c r="J53" s="5" t="s">
        <v>66</v>
      </c>
      <c r="L53" s="6"/>
      <c r="M53" s="1" t="s">
        <v>223</v>
      </c>
      <c r="N53" s="4" t="s">
        <v>240</v>
      </c>
    </row>
    <row r="54" spans="2:15" x14ac:dyDescent="0.2">
      <c r="B54" s="7" t="s">
        <v>237</v>
      </c>
      <c r="C54" s="17" t="s">
        <v>227</v>
      </c>
      <c r="D54" s="8" t="s">
        <v>281</v>
      </c>
      <c r="E54" s="17" t="s">
        <v>228</v>
      </c>
      <c r="F54" s="5" t="s">
        <v>200</v>
      </c>
      <c r="G54" s="17" t="s">
        <v>229</v>
      </c>
      <c r="H54" s="8" t="s">
        <v>230</v>
      </c>
      <c r="I54" s="1" t="s">
        <v>67</v>
      </c>
      <c r="J54" s="5" t="s">
        <v>66</v>
      </c>
      <c r="K54" s="5"/>
      <c r="L54" s="10"/>
      <c r="M54" s="17" t="s">
        <v>231</v>
      </c>
      <c r="N54" s="32" t="s">
        <v>240</v>
      </c>
    </row>
    <row r="55" spans="2:15" x14ac:dyDescent="0.2">
      <c r="B55" s="116" t="s">
        <v>238</v>
      </c>
      <c r="C55" s="117" t="s">
        <v>239</v>
      </c>
      <c r="D55" s="117"/>
      <c r="E55" s="117" t="s">
        <v>239</v>
      </c>
      <c r="F55" s="117"/>
      <c r="G55" s="117" t="s">
        <v>239</v>
      </c>
      <c r="H55" s="117"/>
      <c r="I55" s="117"/>
      <c r="J55" s="117"/>
      <c r="K55" s="117"/>
      <c r="L55" s="117"/>
      <c r="M55" s="117" t="s">
        <v>239</v>
      </c>
      <c r="N55" s="118"/>
      <c r="O55" s="117"/>
    </row>
    <row r="57" spans="2:15" x14ac:dyDescent="0.2">
      <c r="B57" s="7" t="s">
        <v>282</v>
      </c>
      <c r="C57" s="4" t="s">
        <v>208</v>
      </c>
      <c r="D57" s="121" t="s">
        <v>281</v>
      </c>
      <c r="E57" s="4" t="s">
        <v>211</v>
      </c>
      <c r="F57" s="5" t="s">
        <v>200</v>
      </c>
      <c r="G57" t="s">
        <v>212</v>
      </c>
      <c r="H57" s="5" t="s">
        <v>201</v>
      </c>
      <c r="I57" s="1" t="s">
        <v>67</v>
      </c>
      <c r="J57" s="5" t="s">
        <v>66</v>
      </c>
      <c r="L57" s="6"/>
      <c r="M57" s="4" t="s">
        <v>223</v>
      </c>
      <c r="N57" s="4"/>
    </row>
    <row r="58" spans="2:15" x14ac:dyDescent="0.2">
      <c r="B58" s="7" t="s">
        <v>283</v>
      </c>
      <c r="C58" s="4" t="s">
        <v>208</v>
      </c>
      <c r="D58" s="121" t="s">
        <v>281</v>
      </c>
      <c r="E58" s="4" t="s">
        <v>211</v>
      </c>
      <c r="F58" s="5" t="s">
        <v>200</v>
      </c>
      <c r="G58" t="s">
        <v>212</v>
      </c>
      <c r="H58" s="5" t="s">
        <v>201</v>
      </c>
      <c r="I58" s="1" t="s">
        <v>67</v>
      </c>
      <c r="J58" s="5" t="s">
        <v>66</v>
      </c>
      <c r="L58" s="6"/>
      <c r="M58" s="4" t="s">
        <v>223</v>
      </c>
      <c r="N58" s="4"/>
    </row>
    <row r="59" spans="2:15" x14ac:dyDescent="0.2">
      <c r="B59" s="7" t="s">
        <v>284</v>
      </c>
      <c r="C59" s="4" t="s">
        <v>208</v>
      </c>
      <c r="D59" s="121" t="s">
        <v>281</v>
      </c>
      <c r="E59" s="4" t="s">
        <v>211</v>
      </c>
      <c r="F59" s="5" t="s">
        <v>200</v>
      </c>
      <c r="G59" t="s">
        <v>212</v>
      </c>
      <c r="H59" s="5" t="s">
        <v>201</v>
      </c>
      <c r="I59" s="1" t="s">
        <v>67</v>
      </c>
      <c r="J59" s="5" t="s">
        <v>66</v>
      </c>
      <c r="L59" s="6"/>
      <c r="M59" s="1" t="s">
        <v>223</v>
      </c>
      <c r="N59" s="4" t="s">
        <v>240</v>
      </c>
    </row>
    <row r="60" spans="2:15" x14ac:dyDescent="0.2">
      <c r="B60" s="7" t="s">
        <v>285</v>
      </c>
      <c r="C60" s="17" t="s">
        <v>227</v>
      </c>
      <c r="D60" s="121" t="s">
        <v>281</v>
      </c>
      <c r="E60" s="17" t="s">
        <v>228</v>
      </c>
      <c r="F60" s="5" t="s">
        <v>200</v>
      </c>
      <c r="G60" s="17" t="s">
        <v>229</v>
      </c>
      <c r="H60" s="8" t="s">
        <v>230</v>
      </c>
      <c r="I60" s="1" t="s">
        <v>67</v>
      </c>
      <c r="J60" s="5" t="s">
        <v>66</v>
      </c>
      <c r="K60" s="5"/>
      <c r="L60" s="10" t="s">
        <v>206</v>
      </c>
      <c r="M60" s="17" t="s">
        <v>231</v>
      </c>
      <c r="N60" s="32" t="s">
        <v>240</v>
      </c>
    </row>
    <row r="61" spans="2:15" x14ac:dyDescent="0.2">
      <c r="B61" s="116" t="s">
        <v>238</v>
      </c>
      <c r="C61" s="117" t="s">
        <v>239</v>
      </c>
      <c r="D61" s="117"/>
      <c r="E61" s="117" t="s">
        <v>239</v>
      </c>
      <c r="F61" s="117"/>
      <c r="G61" s="117" t="s">
        <v>239</v>
      </c>
      <c r="H61" s="117"/>
      <c r="I61" s="117"/>
      <c r="J61" s="117"/>
      <c r="K61" s="117"/>
      <c r="L61" s="117"/>
      <c r="M61" s="117" t="s">
        <v>239</v>
      </c>
      <c r="N61" s="118"/>
      <c r="O61" s="117"/>
    </row>
    <row r="62" spans="2:15" x14ac:dyDescent="0.2">
      <c r="B62" s="7" t="s">
        <v>286</v>
      </c>
    </row>
  </sheetData>
  <sheetProtection password="D243" sheet="1" objects="1" scenarios="1"/>
  <mergeCells count="8">
    <mergeCell ref="K5:L5"/>
    <mergeCell ref="B1:J2"/>
    <mergeCell ref="K1:M2"/>
    <mergeCell ref="C3:D3"/>
    <mergeCell ref="E3:F3"/>
    <mergeCell ref="G3:H3"/>
    <mergeCell ref="I3:J3"/>
    <mergeCell ref="K3:M3"/>
  </mergeCells>
  <phoneticPr fontId="14" type="noConversion"/>
  <pageMargins left="0.75" right="0.75" top="1" bottom="1" header="0.5" footer="0.5"/>
  <pageSetup paperSize="9" orientation="landscape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V40"/>
  <sheetViews>
    <sheetView topLeftCell="A4" workbookViewId="0">
      <selection activeCell="O17" sqref="O17"/>
    </sheetView>
  </sheetViews>
  <sheetFormatPr defaultRowHeight="12.75" x14ac:dyDescent="0.2"/>
  <cols>
    <col min="10" max="10" width="9.28515625" customWidth="1"/>
  </cols>
  <sheetData>
    <row r="1" spans="1:13" ht="13.5" thickBot="1" x14ac:dyDescent="0.25"/>
    <row r="2" spans="1:13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6"/>
      <c r="J2" s="267"/>
      <c r="K2" s="364" t="s">
        <v>1</v>
      </c>
      <c r="L2" s="365"/>
      <c r="M2" s="366"/>
    </row>
    <row r="3" spans="1:13" ht="13.5" thickBot="1" x14ac:dyDescent="0.25">
      <c r="A3" s="268"/>
      <c r="B3" s="269"/>
      <c r="C3" s="269"/>
      <c r="D3" s="269"/>
      <c r="E3" s="269"/>
      <c r="F3" s="269"/>
      <c r="G3" s="269"/>
      <c r="H3" s="269"/>
      <c r="I3" s="269"/>
      <c r="J3" s="270"/>
      <c r="K3" s="367"/>
      <c r="L3" s="368"/>
      <c r="M3" s="369"/>
    </row>
    <row r="4" spans="1:13" ht="16.5" thickBot="1" x14ac:dyDescent="0.3">
      <c r="A4" s="26" t="s">
        <v>2</v>
      </c>
      <c r="B4" s="27" t="s">
        <v>149</v>
      </c>
      <c r="C4" s="28" t="s">
        <v>3</v>
      </c>
      <c r="D4" s="29"/>
      <c r="E4" s="27" t="s">
        <v>4</v>
      </c>
      <c r="F4" s="29"/>
      <c r="G4" s="27" t="s">
        <v>5</v>
      </c>
      <c r="H4" s="29"/>
      <c r="I4" s="30" t="s">
        <v>6</v>
      </c>
      <c r="J4" s="29"/>
      <c r="K4" s="26" t="s">
        <v>341</v>
      </c>
      <c r="L4" s="158" t="s">
        <v>296</v>
      </c>
      <c r="M4" s="159" t="s">
        <v>297</v>
      </c>
    </row>
    <row r="5" spans="1:13" ht="13.5" thickBot="1" x14ac:dyDescent="0.25">
      <c r="A5" s="47"/>
      <c r="B5" s="48" t="s">
        <v>167</v>
      </c>
      <c r="C5" s="49" t="s">
        <v>11</v>
      </c>
      <c r="D5" s="29" t="s">
        <v>12</v>
      </c>
      <c r="E5" s="50" t="s">
        <v>11</v>
      </c>
      <c r="F5" s="29" t="s">
        <v>12</v>
      </c>
      <c r="G5" s="50" t="s">
        <v>11</v>
      </c>
      <c r="H5" s="29" t="s">
        <v>12</v>
      </c>
      <c r="I5" s="49" t="s">
        <v>11</v>
      </c>
      <c r="J5" s="29" t="s">
        <v>12</v>
      </c>
      <c r="K5" s="47" t="s">
        <v>342</v>
      </c>
      <c r="L5" s="13">
        <v>1353</v>
      </c>
      <c r="M5" s="89"/>
    </row>
    <row r="6" spans="1:13" x14ac:dyDescent="0.2">
      <c r="A6" s="7" t="s">
        <v>357</v>
      </c>
      <c r="B6" s="22">
        <v>3</v>
      </c>
      <c r="C6" s="17" t="s">
        <v>125</v>
      </c>
      <c r="D6" s="5">
        <v>1770</v>
      </c>
      <c r="E6" s="4">
        <v>290</v>
      </c>
      <c r="F6" s="5">
        <v>221</v>
      </c>
      <c r="G6" s="4">
        <v>330</v>
      </c>
      <c r="H6" s="5">
        <v>275</v>
      </c>
      <c r="I6" s="16" t="s">
        <v>67</v>
      </c>
      <c r="J6" s="8" t="s">
        <v>66</v>
      </c>
      <c r="K6" s="10" t="s">
        <v>298</v>
      </c>
      <c r="L6" s="13">
        <v>1353</v>
      </c>
      <c r="M6" s="154"/>
    </row>
    <row r="7" spans="1:13" x14ac:dyDescent="0.2">
      <c r="A7" s="7" t="s">
        <v>358</v>
      </c>
      <c r="B7" s="22">
        <v>3</v>
      </c>
      <c r="C7" s="17" t="s">
        <v>125</v>
      </c>
      <c r="D7" s="5">
        <v>1770</v>
      </c>
      <c r="E7" s="4">
        <v>290</v>
      </c>
      <c r="F7" s="5">
        <v>221</v>
      </c>
      <c r="G7" s="4">
        <v>330</v>
      </c>
      <c r="H7" s="5">
        <v>275</v>
      </c>
      <c r="I7" s="16" t="s">
        <v>67</v>
      </c>
      <c r="J7" s="8" t="s">
        <v>66</v>
      </c>
      <c r="K7" s="10" t="s">
        <v>298</v>
      </c>
      <c r="L7" s="13">
        <v>1353</v>
      </c>
      <c r="M7" s="154"/>
    </row>
    <row r="8" spans="1:13" x14ac:dyDescent="0.2">
      <c r="A8" s="7" t="s">
        <v>359</v>
      </c>
      <c r="B8" s="22">
        <v>3</v>
      </c>
      <c r="C8" s="17" t="s">
        <v>125</v>
      </c>
      <c r="D8" s="5">
        <v>1770</v>
      </c>
      <c r="E8" s="4">
        <v>290</v>
      </c>
      <c r="F8" s="5">
        <v>221</v>
      </c>
      <c r="G8" s="4">
        <v>330</v>
      </c>
      <c r="H8" s="5">
        <v>275</v>
      </c>
      <c r="I8" s="16" t="s">
        <v>67</v>
      </c>
      <c r="J8" s="8" t="s">
        <v>66</v>
      </c>
      <c r="K8" s="10" t="s">
        <v>298</v>
      </c>
      <c r="L8" s="13">
        <v>1353</v>
      </c>
      <c r="M8" s="154"/>
    </row>
    <row r="9" spans="1:13" x14ac:dyDescent="0.2">
      <c r="A9" s="7" t="s">
        <v>361</v>
      </c>
      <c r="B9" s="22">
        <v>3</v>
      </c>
      <c r="C9" s="17" t="s">
        <v>125</v>
      </c>
      <c r="D9" s="5">
        <v>1770</v>
      </c>
      <c r="E9" s="4">
        <v>290</v>
      </c>
      <c r="F9" s="5">
        <v>221</v>
      </c>
      <c r="G9" s="4">
        <v>330</v>
      </c>
      <c r="H9" s="5">
        <v>275</v>
      </c>
      <c r="I9" s="16" t="s">
        <v>67</v>
      </c>
      <c r="J9" s="8" t="s">
        <v>66</v>
      </c>
      <c r="K9" s="10" t="s">
        <v>298</v>
      </c>
      <c r="L9" s="13">
        <v>1353</v>
      </c>
      <c r="M9" s="154"/>
    </row>
    <row r="10" spans="1:13" x14ac:dyDescent="0.2">
      <c r="A10" s="7" t="s">
        <v>360</v>
      </c>
      <c r="B10" s="122" t="s">
        <v>294</v>
      </c>
      <c r="C10" s="17" t="s">
        <v>208</v>
      </c>
      <c r="D10" s="5">
        <v>1770</v>
      </c>
      <c r="E10" s="4" t="s">
        <v>292</v>
      </c>
      <c r="F10" s="5">
        <v>221</v>
      </c>
      <c r="G10" s="4" t="s">
        <v>212</v>
      </c>
      <c r="H10" s="5">
        <v>275</v>
      </c>
      <c r="I10" s="16" t="s">
        <v>67</v>
      </c>
      <c r="J10" s="8" t="s">
        <v>66</v>
      </c>
      <c r="K10" s="10" t="s">
        <v>298</v>
      </c>
      <c r="L10" s="13">
        <v>1353</v>
      </c>
      <c r="M10" s="13">
        <v>1356</v>
      </c>
    </row>
    <row r="11" spans="1:13" x14ac:dyDescent="0.2">
      <c r="A11" s="7" t="s">
        <v>362</v>
      </c>
      <c r="B11" s="122" t="s">
        <v>294</v>
      </c>
      <c r="C11" s="17" t="s">
        <v>208</v>
      </c>
      <c r="D11" s="5">
        <v>1770</v>
      </c>
      <c r="E11" s="4" t="s">
        <v>292</v>
      </c>
      <c r="F11" s="5">
        <v>221</v>
      </c>
      <c r="G11" s="4" t="s">
        <v>295</v>
      </c>
      <c r="H11" s="5">
        <v>275</v>
      </c>
      <c r="I11" s="16" t="s">
        <v>67</v>
      </c>
      <c r="J11" s="8" t="s">
        <v>66</v>
      </c>
      <c r="K11" s="10" t="s">
        <v>298</v>
      </c>
      <c r="L11" s="13">
        <v>1353</v>
      </c>
      <c r="M11" s="13">
        <v>1356</v>
      </c>
    </row>
    <row r="12" spans="1:13" x14ac:dyDescent="0.2">
      <c r="A12" s="7" t="s">
        <v>363</v>
      </c>
      <c r="B12" s="122" t="s">
        <v>294</v>
      </c>
      <c r="C12" s="17" t="s">
        <v>208</v>
      </c>
      <c r="D12" s="5">
        <v>1770</v>
      </c>
      <c r="E12" s="4" t="s">
        <v>292</v>
      </c>
      <c r="F12" s="5">
        <v>221</v>
      </c>
      <c r="G12" s="4" t="s">
        <v>212</v>
      </c>
      <c r="H12" s="5">
        <v>275</v>
      </c>
      <c r="I12" s="16" t="s">
        <v>67</v>
      </c>
      <c r="J12" s="8" t="s">
        <v>66</v>
      </c>
      <c r="K12" s="10" t="s">
        <v>298</v>
      </c>
      <c r="L12" s="13">
        <v>1353</v>
      </c>
      <c r="M12" s="13">
        <v>1356</v>
      </c>
    </row>
    <row r="13" spans="1:13" x14ac:dyDescent="0.2">
      <c r="A13" s="7"/>
      <c r="B13" s="22"/>
      <c r="C13" s="17"/>
      <c r="D13" s="5"/>
      <c r="E13" s="4"/>
      <c r="F13" s="5"/>
      <c r="G13" s="4"/>
      <c r="H13" s="5"/>
      <c r="I13" s="16"/>
      <c r="J13" s="8"/>
      <c r="K13" s="10"/>
      <c r="L13" s="13"/>
      <c r="M13" s="154"/>
    </row>
    <row r="14" spans="1:13" x14ac:dyDescent="0.2">
      <c r="A14" s="21"/>
      <c r="B14" s="21"/>
      <c r="C14" s="16"/>
      <c r="D14" s="1"/>
      <c r="E14" s="1"/>
      <c r="F14" s="1"/>
      <c r="G14" s="1"/>
      <c r="H14" s="1"/>
      <c r="I14" s="16"/>
      <c r="J14" s="16"/>
      <c r="K14" s="16"/>
      <c r="L14" s="12"/>
      <c r="M14" s="119"/>
    </row>
    <row r="15" spans="1:13" x14ac:dyDescent="0.2">
      <c r="A15" s="94" t="s">
        <v>308</v>
      </c>
      <c r="B15" s="21"/>
      <c r="C15" s="16"/>
      <c r="D15" s="1"/>
      <c r="E15" s="1"/>
      <c r="F15" s="1"/>
      <c r="G15" s="1"/>
      <c r="H15" s="1"/>
      <c r="I15" s="16"/>
      <c r="J15" s="16"/>
      <c r="K15" s="16"/>
      <c r="L15" s="12"/>
      <c r="M15" s="119"/>
    </row>
    <row r="16" spans="1:13" ht="13.5" thickBot="1" x14ac:dyDescent="0.25">
      <c r="A16" s="21"/>
      <c r="B16" s="21"/>
      <c r="C16" s="16"/>
      <c r="D16" s="1"/>
      <c r="E16" s="1"/>
      <c r="F16" s="1"/>
      <c r="G16" s="1"/>
      <c r="H16" s="1"/>
      <c r="I16" s="16"/>
      <c r="J16" s="16"/>
      <c r="K16" s="16"/>
      <c r="L16" s="12"/>
      <c r="M16" s="119"/>
    </row>
    <row r="17" spans="1:22" ht="12.75" customHeight="1" x14ac:dyDescent="0.2">
      <c r="A17" s="370" t="s">
        <v>365</v>
      </c>
      <c r="B17" s="372" t="s">
        <v>366</v>
      </c>
      <c r="C17" s="372" t="s">
        <v>367</v>
      </c>
      <c r="D17" s="374" t="s">
        <v>368</v>
      </c>
      <c r="E17" s="191"/>
      <c r="F17" s="127"/>
      <c r="G17" s="127"/>
      <c r="H17" s="127"/>
      <c r="I17" s="127"/>
      <c r="J17" s="127"/>
      <c r="K17" s="1"/>
      <c r="L17" s="1"/>
      <c r="M17" s="125"/>
      <c r="N17" s="125"/>
      <c r="O17" s="125"/>
      <c r="P17" s="125"/>
      <c r="Q17" s="125"/>
      <c r="R17" s="125"/>
      <c r="S17" s="125"/>
      <c r="T17" s="125"/>
      <c r="U17" s="125"/>
      <c r="V17" s="125"/>
    </row>
    <row r="18" spans="1:22" x14ac:dyDescent="0.2">
      <c r="A18" s="371"/>
      <c r="B18" s="373"/>
      <c r="C18" s="373"/>
      <c r="D18" s="375"/>
      <c r="E18" s="376"/>
      <c r="F18" s="377"/>
      <c r="G18" s="377"/>
      <c r="H18" s="377"/>
      <c r="I18" s="377"/>
      <c r="J18" s="377"/>
      <c r="K18" s="16"/>
      <c r="L18" s="12"/>
      <c r="M18" s="125"/>
      <c r="N18" s="125"/>
      <c r="O18" s="125"/>
      <c r="P18" s="125"/>
      <c r="Q18" s="125"/>
      <c r="R18" s="125"/>
      <c r="S18" s="125"/>
      <c r="T18" s="125"/>
      <c r="U18" s="125"/>
      <c r="V18" s="125"/>
    </row>
    <row r="19" spans="1:22" ht="22.5" x14ac:dyDescent="0.2">
      <c r="A19" s="371"/>
      <c r="B19" s="373"/>
      <c r="C19" s="373"/>
      <c r="D19" s="375"/>
      <c r="E19" s="160" t="s">
        <v>364</v>
      </c>
      <c r="F19" s="161" t="s">
        <v>359</v>
      </c>
      <c r="G19" s="161" t="s">
        <v>361</v>
      </c>
      <c r="H19" s="161" t="s">
        <v>360</v>
      </c>
      <c r="I19" s="161" t="s">
        <v>362</v>
      </c>
      <c r="J19" s="162" t="s">
        <v>363</v>
      </c>
      <c r="K19" s="16"/>
      <c r="L19" s="12"/>
      <c r="M19" s="125"/>
      <c r="N19" s="125"/>
      <c r="O19" s="125"/>
      <c r="P19" s="125"/>
      <c r="Q19" s="125"/>
      <c r="R19" s="125"/>
      <c r="S19" s="125"/>
      <c r="T19" s="125"/>
      <c r="U19" s="125"/>
      <c r="V19" s="125"/>
    </row>
    <row r="20" spans="1:22" ht="13.5" thickBot="1" x14ac:dyDescent="0.25">
      <c r="A20" s="371"/>
      <c r="B20" s="373"/>
      <c r="C20" s="373"/>
      <c r="D20" s="375"/>
      <c r="E20" s="381" t="s">
        <v>376</v>
      </c>
      <c r="F20" s="382"/>
      <c r="G20" s="382"/>
      <c r="H20" s="383" t="s">
        <v>377</v>
      </c>
      <c r="I20" s="382"/>
      <c r="J20" s="384"/>
      <c r="K20" s="16"/>
      <c r="L20" s="12"/>
      <c r="M20" s="125"/>
      <c r="N20" s="125"/>
      <c r="O20" s="125"/>
      <c r="P20" s="125"/>
      <c r="Q20" s="125"/>
      <c r="R20" s="125"/>
      <c r="S20" s="125"/>
      <c r="T20" s="125"/>
      <c r="U20" s="125"/>
      <c r="V20" s="125"/>
    </row>
    <row r="21" spans="1:22" x14ac:dyDescent="0.2">
      <c r="A21" s="378" t="s">
        <v>299</v>
      </c>
      <c r="B21" s="163" t="s">
        <v>369</v>
      </c>
      <c r="C21" s="380" t="s">
        <v>375</v>
      </c>
      <c r="D21" s="164" t="s">
        <v>370</v>
      </c>
      <c r="E21" s="165" t="s">
        <v>300</v>
      </c>
      <c r="F21" s="166" t="s">
        <v>300</v>
      </c>
      <c r="G21" s="166" t="s">
        <v>300</v>
      </c>
      <c r="H21" s="166" t="s">
        <v>300</v>
      </c>
      <c r="I21" s="166" t="s">
        <v>300</v>
      </c>
      <c r="J21" s="167" t="s">
        <v>300</v>
      </c>
      <c r="K21" s="16"/>
      <c r="L21" s="12"/>
      <c r="M21" s="125"/>
      <c r="N21" s="125"/>
      <c r="O21" s="125"/>
      <c r="P21" s="125"/>
      <c r="Q21" s="125"/>
      <c r="R21" s="125"/>
      <c r="S21" s="125"/>
      <c r="T21" s="125"/>
      <c r="U21" s="125"/>
      <c r="V21" s="125"/>
    </row>
    <row r="22" spans="1:22" x14ac:dyDescent="0.2">
      <c r="A22" s="379"/>
      <c r="B22" s="168"/>
      <c r="C22" s="358"/>
      <c r="D22" s="136" t="s">
        <v>371</v>
      </c>
      <c r="E22" s="169" t="s">
        <v>300</v>
      </c>
      <c r="F22" s="137" t="s">
        <v>300</v>
      </c>
      <c r="G22" s="137" t="s">
        <v>300</v>
      </c>
      <c r="H22" s="137" t="s">
        <v>300</v>
      </c>
      <c r="I22" s="137" t="s">
        <v>300</v>
      </c>
      <c r="J22" s="170" t="s">
        <v>300</v>
      </c>
      <c r="K22" s="16"/>
      <c r="M22" s="125"/>
      <c r="N22" s="125"/>
      <c r="O22" s="125"/>
      <c r="P22" s="125"/>
      <c r="Q22" s="125"/>
      <c r="R22" s="125"/>
      <c r="S22" s="125"/>
      <c r="T22" s="125"/>
      <c r="U22" s="125"/>
      <c r="V22" s="125"/>
    </row>
    <row r="23" spans="1:22" x14ac:dyDescent="0.2">
      <c r="A23" s="379"/>
      <c r="B23" s="168"/>
      <c r="C23" s="359"/>
      <c r="D23" s="141" t="s">
        <v>372</v>
      </c>
      <c r="E23" s="171" t="s">
        <v>300</v>
      </c>
      <c r="F23" s="172" t="s">
        <v>300</v>
      </c>
      <c r="G23" s="172" t="s">
        <v>300</v>
      </c>
      <c r="H23" s="172" t="s">
        <v>300</v>
      </c>
      <c r="I23" s="172" t="s">
        <v>300</v>
      </c>
      <c r="J23" s="173" t="s">
        <v>300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</row>
    <row r="24" spans="1:22" ht="12.75" customHeight="1" x14ac:dyDescent="0.2">
      <c r="A24" s="379"/>
      <c r="B24" s="168"/>
      <c r="C24" s="357" t="s">
        <v>373</v>
      </c>
      <c r="D24" s="129" t="s">
        <v>370</v>
      </c>
      <c r="E24" s="130">
        <v>4100</v>
      </c>
      <c r="F24" s="131">
        <v>4100</v>
      </c>
      <c r="G24" s="131">
        <v>4100</v>
      </c>
      <c r="H24" s="131">
        <v>4100</v>
      </c>
      <c r="I24" s="131">
        <v>4100</v>
      </c>
      <c r="J24" s="145">
        <v>4100</v>
      </c>
      <c r="M24" s="125"/>
      <c r="N24" s="125"/>
      <c r="O24" s="125"/>
      <c r="P24" s="125"/>
      <c r="Q24" s="125"/>
      <c r="R24" s="125"/>
      <c r="S24" s="125"/>
      <c r="T24" s="125"/>
      <c r="U24" s="125"/>
      <c r="V24" s="125"/>
    </row>
    <row r="25" spans="1:22" x14ac:dyDescent="0.2">
      <c r="A25" s="379"/>
      <c r="B25" s="168"/>
      <c r="C25" s="358"/>
      <c r="D25" s="136" t="s">
        <v>371</v>
      </c>
      <c r="E25" s="169">
        <v>7300</v>
      </c>
      <c r="F25" s="137">
        <v>7300</v>
      </c>
      <c r="G25" s="137">
        <v>7300</v>
      </c>
      <c r="H25" s="137">
        <v>7300</v>
      </c>
      <c r="I25" s="137">
        <v>7300</v>
      </c>
      <c r="J25" s="170">
        <v>7300</v>
      </c>
      <c r="M25" s="125"/>
      <c r="N25" s="125"/>
      <c r="O25" s="125"/>
      <c r="P25" s="125"/>
      <c r="Q25" s="125"/>
      <c r="R25" s="125"/>
      <c r="S25" s="125"/>
      <c r="T25" s="125"/>
      <c r="U25" s="125"/>
      <c r="V25" s="125"/>
    </row>
    <row r="26" spans="1:22" ht="13.5" thickBot="1" x14ac:dyDescent="0.25">
      <c r="A26" s="379"/>
      <c r="B26" s="174"/>
      <c r="C26" s="359"/>
      <c r="D26" s="141" t="s">
        <v>372</v>
      </c>
      <c r="E26" s="175">
        <v>9000</v>
      </c>
      <c r="F26" s="176">
        <v>9000</v>
      </c>
      <c r="G26" s="176">
        <v>9000</v>
      </c>
      <c r="H26" s="176">
        <v>9000</v>
      </c>
      <c r="I26" s="176">
        <v>9000</v>
      </c>
      <c r="J26" s="177">
        <v>9000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</row>
    <row r="27" spans="1:22" ht="12.75" customHeight="1" x14ac:dyDescent="0.2">
      <c r="A27" s="379"/>
      <c r="B27" s="360" t="s">
        <v>374</v>
      </c>
      <c r="C27" s="357" t="s">
        <v>373</v>
      </c>
      <c r="D27" s="129" t="s">
        <v>370</v>
      </c>
      <c r="E27" s="178" t="s">
        <v>300</v>
      </c>
      <c r="F27" s="132" t="s">
        <v>300</v>
      </c>
      <c r="G27" s="132" t="s">
        <v>300</v>
      </c>
      <c r="H27" s="131">
        <v>4900</v>
      </c>
      <c r="I27" s="131">
        <v>4900</v>
      </c>
      <c r="J27" s="179">
        <v>4900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</row>
    <row r="28" spans="1:22" x14ac:dyDescent="0.2">
      <c r="A28" s="379"/>
      <c r="B28" s="361"/>
      <c r="C28" s="358"/>
      <c r="D28" s="136" t="s">
        <v>371</v>
      </c>
      <c r="E28" s="169" t="s">
        <v>300</v>
      </c>
      <c r="F28" s="137" t="s">
        <v>300</v>
      </c>
      <c r="G28" s="137" t="s">
        <v>300</v>
      </c>
      <c r="H28" s="137">
        <v>7300</v>
      </c>
      <c r="I28" s="137">
        <v>7300</v>
      </c>
      <c r="J28" s="170">
        <v>7300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</row>
    <row r="29" spans="1:22" ht="13.5" thickBot="1" x14ac:dyDescent="0.25">
      <c r="A29" s="379"/>
      <c r="B29" s="361"/>
      <c r="C29" s="362"/>
      <c r="D29" s="147" t="s">
        <v>372</v>
      </c>
      <c r="E29" s="180" t="s">
        <v>300</v>
      </c>
      <c r="F29" s="181" t="s">
        <v>300</v>
      </c>
      <c r="G29" s="181" t="s">
        <v>300</v>
      </c>
      <c r="H29" s="182">
        <v>9000</v>
      </c>
      <c r="I29" s="182">
        <v>9000</v>
      </c>
      <c r="J29" s="183">
        <v>9000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</row>
    <row r="32" spans="1:22" x14ac:dyDescent="0.2">
      <c r="K32" s="184"/>
      <c r="L32" s="184"/>
      <c r="M32" s="363"/>
      <c r="N32" s="363"/>
      <c r="O32" s="363"/>
      <c r="P32" s="363"/>
      <c r="Q32" s="363"/>
      <c r="R32" s="363"/>
    </row>
    <row r="33" spans="11:18" x14ac:dyDescent="0.2">
      <c r="K33" s="184"/>
      <c r="L33" s="184"/>
      <c r="M33" s="186"/>
      <c r="N33" s="185"/>
      <c r="O33" s="185"/>
      <c r="P33" s="185"/>
      <c r="Q33" s="185"/>
      <c r="R33" s="185"/>
    </row>
    <row r="34" spans="11:18" ht="15.75" x14ac:dyDescent="0.2">
      <c r="K34" s="187"/>
      <c r="L34" s="188"/>
      <c r="M34" s="189"/>
      <c r="N34" s="189"/>
      <c r="O34" s="189"/>
      <c r="P34" s="189"/>
      <c r="Q34" s="189"/>
      <c r="R34" s="189"/>
    </row>
    <row r="35" spans="11:18" x14ac:dyDescent="0.2">
      <c r="K35" s="356"/>
      <c r="L35" s="190"/>
      <c r="M35" s="355"/>
      <c r="N35" s="355"/>
      <c r="O35" s="355"/>
      <c r="P35" s="355"/>
      <c r="Q35" s="355"/>
      <c r="R35" s="355"/>
    </row>
    <row r="36" spans="11:18" x14ac:dyDescent="0.2">
      <c r="K36" s="356"/>
      <c r="L36" s="190"/>
      <c r="M36" s="355"/>
      <c r="N36" s="355"/>
      <c r="O36" s="355"/>
      <c r="P36" s="355"/>
      <c r="Q36" s="355"/>
      <c r="R36" s="355"/>
    </row>
    <row r="37" spans="11:18" x14ac:dyDescent="0.2">
      <c r="K37" s="356"/>
      <c r="L37" s="190"/>
      <c r="M37" s="355"/>
      <c r="N37" s="355"/>
      <c r="O37" s="355"/>
      <c r="P37" s="355"/>
      <c r="Q37" s="355"/>
      <c r="R37" s="355"/>
    </row>
    <row r="38" spans="11:18" x14ac:dyDescent="0.2">
      <c r="K38" s="356"/>
      <c r="L38" s="190"/>
      <c r="M38" s="355"/>
      <c r="N38" s="355"/>
      <c r="O38" s="355"/>
      <c r="P38" s="355"/>
      <c r="Q38" s="355"/>
      <c r="R38" s="355"/>
    </row>
    <row r="39" spans="11:18" x14ac:dyDescent="0.2">
      <c r="K39" s="356"/>
      <c r="L39" s="190"/>
      <c r="M39" s="355"/>
      <c r="N39" s="355"/>
      <c r="O39" s="355"/>
      <c r="P39" s="355"/>
      <c r="Q39" s="355"/>
      <c r="R39" s="355"/>
    </row>
    <row r="40" spans="11:18" x14ac:dyDescent="0.2">
      <c r="K40" s="356"/>
      <c r="L40" s="190"/>
      <c r="M40" s="355"/>
      <c r="N40" s="355"/>
      <c r="O40" s="355"/>
      <c r="P40" s="355"/>
      <c r="Q40" s="355"/>
      <c r="R40" s="355"/>
    </row>
  </sheetData>
  <sheetProtection password="D243" sheet="1" objects="1" scenarios="1"/>
  <mergeCells count="36">
    <mergeCell ref="C24:C26"/>
    <mergeCell ref="B27:B29"/>
    <mergeCell ref="C27:C29"/>
    <mergeCell ref="M32:R32"/>
    <mergeCell ref="A2:J3"/>
    <mergeCell ref="K2:M3"/>
    <mergeCell ref="A17:A20"/>
    <mergeCell ref="B17:B20"/>
    <mergeCell ref="C17:C20"/>
    <mergeCell ref="D17:D20"/>
    <mergeCell ref="E18:J18"/>
    <mergeCell ref="A21:A29"/>
    <mergeCell ref="C21:C23"/>
    <mergeCell ref="E20:G20"/>
    <mergeCell ref="H20:J20"/>
    <mergeCell ref="K35:K36"/>
    <mergeCell ref="M35:M36"/>
    <mergeCell ref="N35:N36"/>
    <mergeCell ref="O35:O36"/>
    <mergeCell ref="P35:P36"/>
    <mergeCell ref="Q35:Q36"/>
    <mergeCell ref="P39:P40"/>
    <mergeCell ref="Q39:Q40"/>
    <mergeCell ref="R35:R36"/>
    <mergeCell ref="K37:K38"/>
    <mergeCell ref="M37:M38"/>
    <mergeCell ref="N37:N38"/>
    <mergeCell ref="O37:O38"/>
    <mergeCell ref="P37:P38"/>
    <mergeCell ref="Q37:Q38"/>
    <mergeCell ref="R37:R38"/>
    <mergeCell ref="R39:R40"/>
    <mergeCell ref="K39:K40"/>
    <mergeCell ref="M39:M40"/>
    <mergeCell ref="N39:N40"/>
    <mergeCell ref="O39:O40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V39"/>
  <sheetViews>
    <sheetView workbookViewId="0">
      <selection activeCell="N16" sqref="N16"/>
    </sheetView>
  </sheetViews>
  <sheetFormatPr defaultRowHeight="12.75" x14ac:dyDescent="0.2"/>
  <cols>
    <col min="10" max="10" width="9.28515625" customWidth="1"/>
    <col min="14" max="14" width="19.85546875" customWidth="1"/>
  </cols>
  <sheetData>
    <row r="1" spans="1:22" ht="13.5" thickBot="1" x14ac:dyDescent="0.25"/>
    <row r="2" spans="1:22" x14ac:dyDescent="0.2">
      <c r="A2" s="265" t="s">
        <v>0</v>
      </c>
      <c r="B2" s="266"/>
      <c r="C2" s="266"/>
      <c r="D2" s="266"/>
      <c r="E2" s="266"/>
      <c r="F2" s="266"/>
      <c r="G2" s="266"/>
      <c r="H2" s="266"/>
      <c r="I2" s="266"/>
      <c r="J2" s="267"/>
      <c r="K2" s="364" t="s">
        <v>1</v>
      </c>
      <c r="L2" s="365"/>
      <c r="M2" s="366"/>
      <c r="N2" s="224" t="s">
        <v>509</v>
      </c>
    </row>
    <row r="3" spans="1:22" ht="13.5" thickBot="1" x14ac:dyDescent="0.25">
      <c r="A3" s="268"/>
      <c r="B3" s="269"/>
      <c r="C3" s="269"/>
      <c r="D3" s="269"/>
      <c r="E3" s="269"/>
      <c r="F3" s="269"/>
      <c r="G3" s="269"/>
      <c r="H3" s="269"/>
      <c r="I3" s="269"/>
      <c r="J3" s="270"/>
      <c r="K3" s="367"/>
      <c r="L3" s="368"/>
      <c r="M3" s="369"/>
      <c r="N3" s="33"/>
    </row>
    <row r="4" spans="1:22" ht="16.5" thickBot="1" x14ac:dyDescent="0.3">
      <c r="A4" s="26" t="s">
        <v>2</v>
      </c>
      <c r="B4" s="27" t="s">
        <v>149</v>
      </c>
      <c r="C4" s="28" t="s">
        <v>3</v>
      </c>
      <c r="D4" s="29"/>
      <c r="E4" s="27" t="s">
        <v>4</v>
      </c>
      <c r="F4" s="29"/>
      <c r="G4" s="27" t="s">
        <v>5</v>
      </c>
      <c r="H4" s="29"/>
      <c r="I4" s="30" t="s">
        <v>6</v>
      </c>
      <c r="J4" s="29"/>
      <c r="K4" s="26" t="s">
        <v>341</v>
      </c>
      <c r="L4" s="158" t="s">
        <v>296</v>
      </c>
      <c r="M4" s="159" t="s">
        <v>297</v>
      </c>
      <c r="N4" s="225" t="s">
        <v>510</v>
      </c>
    </row>
    <row r="5" spans="1:22" ht="13.5" thickBot="1" x14ac:dyDescent="0.25">
      <c r="A5" s="47"/>
      <c r="B5" s="48" t="s">
        <v>167</v>
      </c>
      <c r="C5" s="49" t="s">
        <v>11</v>
      </c>
      <c r="D5" s="29" t="s">
        <v>12</v>
      </c>
      <c r="E5" s="50" t="s">
        <v>11</v>
      </c>
      <c r="F5" s="29" t="s">
        <v>12</v>
      </c>
      <c r="G5" s="50" t="s">
        <v>11</v>
      </c>
      <c r="H5" s="29" t="s">
        <v>12</v>
      </c>
      <c r="I5" s="49" t="s">
        <v>11</v>
      </c>
      <c r="J5" s="29" t="s">
        <v>12</v>
      </c>
      <c r="K5" s="47" t="s">
        <v>342</v>
      </c>
      <c r="L5" s="13">
        <v>1326</v>
      </c>
      <c r="M5" s="89"/>
      <c r="N5" s="225" t="s">
        <v>510</v>
      </c>
    </row>
    <row r="6" spans="1:22" x14ac:dyDescent="0.2">
      <c r="A6" s="7" t="s">
        <v>467</v>
      </c>
      <c r="B6" s="22">
        <v>3</v>
      </c>
      <c r="C6" s="17" t="s">
        <v>125</v>
      </c>
      <c r="D6" s="5">
        <v>1770</v>
      </c>
      <c r="E6" s="4">
        <v>290</v>
      </c>
      <c r="F6" s="5">
        <v>221</v>
      </c>
      <c r="G6" s="4">
        <v>330</v>
      </c>
      <c r="H6" s="5">
        <v>275</v>
      </c>
      <c r="I6" s="16" t="s">
        <v>67</v>
      </c>
      <c r="J6" s="8" t="s">
        <v>66</v>
      </c>
      <c r="K6" s="10" t="s">
        <v>298</v>
      </c>
      <c r="L6" s="13">
        <v>1326</v>
      </c>
      <c r="M6" s="154"/>
      <c r="N6" s="8" t="s">
        <v>510</v>
      </c>
    </row>
    <row r="7" spans="1:22" x14ac:dyDescent="0.2">
      <c r="A7" s="7" t="s">
        <v>468</v>
      </c>
      <c r="B7" s="22">
        <v>3</v>
      </c>
      <c r="C7" s="17" t="s">
        <v>125</v>
      </c>
      <c r="D7" s="5">
        <v>1770</v>
      </c>
      <c r="E7" s="4">
        <v>290</v>
      </c>
      <c r="F7" s="5">
        <v>221</v>
      </c>
      <c r="G7" s="4">
        <v>330</v>
      </c>
      <c r="H7" s="5">
        <v>275</v>
      </c>
      <c r="I7" s="16" t="s">
        <v>67</v>
      </c>
      <c r="J7" s="8" t="s">
        <v>66</v>
      </c>
      <c r="K7" s="10" t="s">
        <v>298</v>
      </c>
      <c r="L7" s="13">
        <v>1326</v>
      </c>
      <c r="M7" s="154"/>
      <c r="N7" s="8" t="s">
        <v>511</v>
      </c>
    </row>
    <row r="8" spans="1:22" x14ac:dyDescent="0.2">
      <c r="A8" s="7" t="s">
        <v>360</v>
      </c>
      <c r="B8" s="22">
        <v>3</v>
      </c>
      <c r="C8" s="17" t="s">
        <v>125</v>
      </c>
      <c r="D8" s="5">
        <v>1770</v>
      </c>
      <c r="E8" s="4">
        <v>290</v>
      </c>
      <c r="F8" s="5">
        <v>221</v>
      </c>
      <c r="G8" s="4">
        <v>330</v>
      </c>
      <c r="H8" s="5">
        <v>275</v>
      </c>
      <c r="I8" s="16" t="s">
        <v>67</v>
      </c>
      <c r="J8" s="8" t="s">
        <v>66</v>
      </c>
      <c r="K8" s="10" t="s">
        <v>298</v>
      </c>
      <c r="L8" s="13">
        <v>1326</v>
      </c>
      <c r="M8" s="154"/>
      <c r="N8" s="8" t="s">
        <v>511</v>
      </c>
    </row>
    <row r="9" spans="1:22" x14ac:dyDescent="0.2">
      <c r="A9" s="7" t="s">
        <v>362</v>
      </c>
      <c r="B9" s="22">
        <v>3</v>
      </c>
      <c r="C9" s="17" t="s">
        <v>125</v>
      </c>
      <c r="D9" s="5">
        <v>1770</v>
      </c>
      <c r="E9" s="4">
        <v>290</v>
      </c>
      <c r="F9" s="5">
        <v>221</v>
      </c>
      <c r="G9" s="4">
        <v>330</v>
      </c>
      <c r="H9" s="5">
        <v>275</v>
      </c>
      <c r="I9" s="16" t="s">
        <v>67</v>
      </c>
      <c r="J9" s="8" t="s">
        <v>66</v>
      </c>
      <c r="K9" s="10" t="s">
        <v>298</v>
      </c>
      <c r="L9" s="13">
        <v>1326</v>
      </c>
      <c r="M9" s="154"/>
      <c r="N9" s="8" t="s">
        <v>511</v>
      </c>
    </row>
    <row r="10" spans="1:22" x14ac:dyDescent="0.2">
      <c r="A10" s="7" t="s">
        <v>363</v>
      </c>
      <c r="B10" s="122" t="s">
        <v>294</v>
      </c>
      <c r="C10" s="17" t="s">
        <v>208</v>
      </c>
      <c r="D10" s="5">
        <v>1770</v>
      </c>
      <c r="E10" s="4" t="s">
        <v>292</v>
      </c>
      <c r="F10" s="5">
        <v>221</v>
      </c>
      <c r="G10" s="4" t="s">
        <v>212</v>
      </c>
      <c r="H10" s="5">
        <v>275</v>
      </c>
      <c r="I10" s="16" t="s">
        <v>67</v>
      </c>
      <c r="J10" s="8" t="s">
        <v>66</v>
      </c>
      <c r="K10" s="10" t="s">
        <v>298</v>
      </c>
      <c r="L10" s="13">
        <v>1326</v>
      </c>
      <c r="M10" s="13">
        <v>1329</v>
      </c>
      <c r="N10" s="8" t="s">
        <v>511</v>
      </c>
    </row>
    <row r="11" spans="1:22" x14ac:dyDescent="0.2">
      <c r="A11" s="7" t="s">
        <v>469</v>
      </c>
      <c r="B11" s="122" t="s">
        <v>294</v>
      </c>
      <c r="C11" s="17" t="s">
        <v>208</v>
      </c>
      <c r="D11" s="5">
        <v>1770</v>
      </c>
      <c r="E11" s="4" t="s">
        <v>292</v>
      </c>
      <c r="F11" s="5">
        <v>221</v>
      </c>
      <c r="G11" s="4" t="s">
        <v>295</v>
      </c>
      <c r="H11" s="5">
        <v>275</v>
      </c>
      <c r="I11" s="16" t="s">
        <v>67</v>
      </c>
      <c r="J11" s="8" t="s">
        <v>66</v>
      </c>
      <c r="K11" s="10" t="s">
        <v>298</v>
      </c>
      <c r="L11" s="13">
        <v>1326</v>
      </c>
      <c r="M11" s="13">
        <v>1329</v>
      </c>
      <c r="N11" s="8" t="s">
        <v>510</v>
      </c>
    </row>
    <row r="12" spans="1:22" ht="13.5" thickBot="1" x14ac:dyDescent="0.25">
      <c r="A12" s="58"/>
      <c r="B12" s="76"/>
      <c r="C12" s="52"/>
      <c r="D12" s="53"/>
      <c r="E12" s="59"/>
      <c r="F12" s="53"/>
      <c r="G12" s="59"/>
      <c r="H12" s="53"/>
      <c r="I12" s="218"/>
      <c r="J12" s="219"/>
      <c r="K12" s="220"/>
      <c r="L12" s="221"/>
      <c r="M12" s="226"/>
      <c r="N12" s="34"/>
    </row>
    <row r="13" spans="1:22" x14ac:dyDescent="0.2">
      <c r="A13" s="21"/>
      <c r="B13" s="21"/>
      <c r="C13" s="16"/>
      <c r="D13" s="1"/>
      <c r="E13" s="1"/>
      <c r="F13" s="1"/>
      <c r="G13" s="1"/>
      <c r="H13" s="1"/>
      <c r="I13" s="16"/>
      <c r="J13" s="16"/>
      <c r="K13" s="16"/>
      <c r="L13" s="12"/>
      <c r="M13" s="119"/>
    </row>
    <row r="14" spans="1:22" x14ac:dyDescent="0.2">
      <c r="A14" s="94" t="s">
        <v>308</v>
      </c>
      <c r="B14" s="21"/>
      <c r="C14" s="16"/>
      <c r="D14" s="1"/>
      <c r="E14" s="1"/>
      <c r="F14" s="1"/>
      <c r="G14" s="1"/>
      <c r="H14" s="1"/>
      <c r="I14" s="16"/>
      <c r="J14" s="16"/>
      <c r="K14" s="16"/>
      <c r="L14" s="12"/>
      <c r="M14" s="119"/>
    </row>
    <row r="15" spans="1:22" ht="13.5" thickBot="1" x14ac:dyDescent="0.25">
      <c r="A15" s="21"/>
      <c r="B15" s="21"/>
      <c r="C15" s="16"/>
      <c r="D15" s="1"/>
      <c r="E15" s="1"/>
      <c r="F15" s="1"/>
      <c r="G15" s="1"/>
      <c r="H15" s="1"/>
      <c r="I15" s="16"/>
      <c r="J15" s="16"/>
      <c r="K15" s="16"/>
      <c r="L15" s="12"/>
      <c r="M15" s="119"/>
    </row>
    <row r="16" spans="1:22" ht="12.75" customHeight="1" x14ac:dyDescent="0.2">
      <c r="A16" s="370" t="s">
        <v>365</v>
      </c>
      <c r="B16" s="372" t="s">
        <v>366</v>
      </c>
      <c r="C16" s="372" t="s">
        <v>367</v>
      </c>
      <c r="D16" s="374" t="s">
        <v>368</v>
      </c>
      <c r="E16" s="191"/>
      <c r="F16" s="127"/>
      <c r="G16" s="127"/>
      <c r="H16" s="127"/>
      <c r="I16" s="127"/>
      <c r="J16" s="127"/>
      <c r="K16" s="1"/>
      <c r="L16" s="1"/>
      <c r="M16" s="125"/>
      <c r="N16" s="125"/>
      <c r="O16" s="125"/>
      <c r="P16" s="125"/>
      <c r="Q16" s="125"/>
      <c r="R16" s="125"/>
      <c r="S16" s="125"/>
      <c r="T16" s="125"/>
      <c r="U16" s="125"/>
      <c r="V16" s="125"/>
    </row>
    <row r="17" spans="1:22" x14ac:dyDescent="0.2">
      <c r="A17" s="371"/>
      <c r="B17" s="373"/>
      <c r="C17" s="373"/>
      <c r="D17" s="375"/>
      <c r="E17" s="376"/>
      <c r="F17" s="377"/>
      <c r="G17" s="377"/>
      <c r="H17" s="377"/>
      <c r="I17" s="377"/>
      <c r="J17" s="377"/>
      <c r="K17" s="16"/>
      <c r="L17" s="12"/>
      <c r="M17" s="125"/>
      <c r="N17" s="125"/>
      <c r="O17" s="125"/>
      <c r="P17" s="125"/>
      <c r="Q17" s="125"/>
      <c r="R17" s="125"/>
      <c r="S17" s="125"/>
      <c r="T17" s="125"/>
      <c r="U17" s="125"/>
      <c r="V17" s="125"/>
    </row>
    <row r="18" spans="1:22" ht="22.5" x14ac:dyDescent="0.2">
      <c r="A18" s="371"/>
      <c r="B18" s="373"/>
      <c r="C18" s="373"/>
      <c r="D18" s="375"/>
      <c r="E18" s="160" t="s">
        <v>470</v>
      </c>
      <c r="F18" s="161" t="s">
        <v>360</v>
      </c>
      <c r="G18" s="161" t="s">
        <v>362</v>
      </c>
      <c r="H18" s="161" t="s">
        <v>363</v>
      </c>
      <c r="I18" s="161" t="s">
        <v>469</v>
      </c>
      <c r="J18" s="16"/>
      <c r="K18" s="12"/>
      <c r="L18" s="125"/>
      <c r="M18" s="125"/>
      <c r="N18" s="125"/>
      <c r="O18" s="125"/>
      <c r="P18" s="125"/>
      <c r="Q18" s="125"/>
      <c r="R18" s="125"/>
      <c r="S18" s="125"/>
      <c r="T18" s="125"/>
      <c r="U18" s="125"/>
    </row>
    <row r="19" spans="1:22" ht="13.5" thickBot="1" x14ac:dyDescent="0.25">
      <c r="A19" s="371"/>
      <c r="B19" s="373"/>
      <c r="C19" s="373"/>
      <c r="D19" s="375"/>
      <c r="E19" s="381" t="s">
        <v>376</v>
      </c>
      <c r="F19" s="382"/>
      <c r="G19" s="382"/>
      <c r="I19" s="214" t="s">
        <v>377</v>
      </c>
      <c r="J19" s="16"/>
      <c r="K19" s="12"/>
      <c r="L19" s="125"/>
      <c r="M19" s="125"/>
      <c r="N19" s="125"/>
      <c r="O19" s="125"/>
      <c r="P19" s="125"/>
      <c r="Q19" s="125"/>
      <c r="R19" s="125"/>
      <c r="S19" s="125"/>
      <c r="T19" s="125"/>
      <c r="U19" s="125"/>
    </row>
    <row r="20" spans="1:22" x14ac:dyDescent="0.2">
      <c r="A20" s="378" t="s">
        <v>299</v>
      </c>
      <c r="B20" s="163" t="s">
        <v>369</v>
      </c>
      <c r="C20" s="380" t="s">
        <v>375</v>
      </c>
      <c r="D20" s="164" t="s">
        <v>370</v>
      </c>
      <c r="E20" s="165" t="s">
        <v>300</v>
      </c>
      <c r="F20" s="166" t="s">
        <v>300</v>
      </c>
      <c r="G20" s="166" t="s">
        <v>300</v>
      </c>
      <c r="H20" s="166" t="s">
        <v>300</v>
      </c>
      <c r="I20" s="166" t="s">
        <v>300</v>
      </c>
      <c r="J20" s="16"/>
      <c r="K20" s="12"/>
      <c r="L20" s="125"/>
      <c r="M20" s="125"/>
      <c r="N20" s="125"/>
      <c r="O20" s="125"/>
      <c r="P20" s="125"/>
      <c r="Q20" s="125"/>
      <c r="R20" s="125"/>
      <c r="S20" s="125"/>
      <c r="T20" s="125"/>
      <c r="U20" s="125"/>
    </row>
    <row r="21" spans="1:22" x14ac:dyDescent="0.2">
      <c r="A21" s="379"/>
      <c r="B21" s="168"/>
      <c r="C21" s="358"/>
      <c r="D21" s="136" t="s">
        <v>371</v>
      </c>
      <c r="E21" s="169" t="s">
        <v>300</v>
      </c>
      <c r="F21" s="137" t="s">
        <v>300</v>
      </c>
      <c r="G21" s="137" t="s">
        <v>300</v>
      </c>
      <c r="H21" s="137" t="s">
        <v>300</v>
      </c>
      <c r="I21" s="137" t="s">
        <v>300</v>
      </c>
      <c r="J21" s="16"/>
      <c r="L21" s="125"/>
      <c r="M21" s="125"/>
      <c r="N21" s="125"/>
      <c r="O21" s="125"/>
      <c r="P21" s="125"/>
      <c r="Q21" s="125"/>
      <c r="R21" s="125"/>
      <c r="S21" s="125"/>
      <c r="T21" s="125"/>
      <c r="U21" s="125"/>
    </row>
    <row r="22" spans="1:22" x14ac:dyDescent="0.2">
      <c r="A22" s="379"/>
      <c r="B22" s="168"/>
      <c r="C22" s="359"/>
      <c r="D22" s="141" t="s">
        <v>372</v>
      </c>
      <c r="E22" s="171" t="s">
        <v>300</v>
      </c>
      <c r="F22" s="172" t="s">
        <v>300</v>
      </c>
      <c r="G22" s="172" t="s">
        <v>300</v>
      </c>
      <c r="H22" s="172" t="s">
        <v>300</v>
      </c>
      <c r="I22" s="172" t="s">
        <v>300</v>
      </c>
      <c r="L22" s="125"/>
      <c r="M22" s="125"/>
      <c r="N22" s="125"/>
      <c r="O22" s="125"/>
      <c r="P22" s="125"/>
      <c r="Q22" s="125"/>
      <c r="R22" s="125"/>
      <c r="S22" s="125"/>
      <c r="T22" s="125"/>
      <c r="U22" s="125"/>
    </row>
    <row r="23" spans="1:22" ht="12.75" customHeight="1" x14ac:dyDescent="0.2">
      <c r="A23" s="379"/>
      <c r="B23" s="168"/>
      <c r="C23" s="357" t="s">
        <v>373</v>
      </c>
      <c r="D23" s="129" t="s">
        <v>370</v>
      </c>
      <c r="E23" s="130">
        <v>4100</v>
      </c>
      <c r="F23" s="131">
        <v>4100</v>
      </c>
      <c r="G23" s="131">
        <v>4100</v>
      </c>
      <c r="H23" s="131">
        <v>4100</v>
      </c>
      <c r="I23" s="131">
        <v>4100</v>
      </c>
      <c r="L23" s="125"/>
      <c r="M23" s="125"/>
      <c r="N23" s="125"/>
      <c r="O23" s="125"/>
      <c r="P23" s="125"/>
      <c r="Q23" s="125"/>
      <c r="R23" s="125"/>
      <c r="S23" s="125"/>
      <c r="T23" s="125"/>
      <c r="U23" s="125"/>
    </row>
    <row r="24" spans="1:22" x14ac:dyDescent="0.2">
      <c r="A24" s="379"/>
      <c r="B24" s="168"/>
      <c r="C24" s="358"/>
      <c r="D24" s="136" t="s">
        <v>371</v>
      </c>
      <c r="E24" s="169">
        <v>7300</v>
      </c>
      <c r="F24" s="137">
        <v>7300</v>
      </c>
      <c r="G24" s="137">
        <v>7300</v>
      </c>
      <c r="H24" s="137">
        <v>7300</v>
      </c>
      <c r="I24" s="137">
        <v>7300</v>
      </c>
      <c r="L24" s="125"/>
      <c r="M24" s="125"/>
      <c r="N24" s="125"/>
      <c r="O24" s="125"/>
      <c r="P24" s="125"/>
      <c r="Q24" s="125"/>
      <c r="R24" s="125"/>
      <c r="S24" s="125"/>
      <c r="T24" s="125"/>
      <c r="U24" s="125"/>
    </row>
    <row r="25" spans="1:22" ht="13.5" thickBot="1" x14ac:dyDescent="0.25">
      <c r="A25" s="379"/>
      <c r="B25" s="174"/>
      <c r="C25" s="359"/>
      <c r="D25" s="141" t="s">
        <v>372</v>
      </c>
      <c r="E25" s="175">
        <v>9000</v>
      </c>
      <c r="F25" s="176">
        <v>9000</v>
      </c>
      <c r="G25" s="176">
        <v>9000</v>
      </c>
      <c r="H25" s="176">
        <v>9000</v>
      </c>
      <c r="I25" s="176">
        <v>9000</v>
      </c>
      <c r="L25" s="125"/>
      <c r="M25" s="125"/>
      <c r="N25" s="125"/>
      <c r="O25" s="125"/>
      <c r="P25" s="125"/>
      <c r="Q25" s="125"/>
      <c r="R25" s="125"/>
      <c r="S25" s="125"/>
      <c r="T25" s="125"/>
      <c r="U25" s="125"/>
    </row>
    <row r="26" spans="1:22" ht="12.75" customHeight="1" x14ac:dyDescent="0.2">
      <c r="A26" s="379"/>
      <c r="B26" s="360" t="s">
        <v>374</v>
      </c>
      <c r="C26" s="357" t="s">
        <v>373</v>
      </c>
      <c r="D26" s="129" t="s">
        <v>370</v>
      </c>
      <c r="E26" s="178" t="s">
        <v>300</v>
      </c>
      <c r="F26" s="132" t="s">
        <v>300</v>
      </c>
      <c r="G26" s="132" t="s">
        <v>300</v>
      </c>
      <c r="H26" s="131">
        <v>4900</v>
      </c>
      <c r="I26" s="131">
        <v>4900</v>
      </c>
      <c r="L26" s="125"/>
      <c r="M26" s="125"/>
      <c r="N26" s="125"/>
      <c r="O26" s="125"/>
      <c r="P26" s="125"/>
      <c r="Q26" s="125"/>
      <c r="R26" s="125"/>
      <c r="S26" s="125"/>
      <c r="T26" s="125"/>
      <c r="U26" s="125"/>
    </row>
    <row r="27" spans="1:22" x14ac:dyDescent="0.2">
      <c r="A27" s="379"/>
      <c r="B27" s="361"/>
      <c r="C27" s="358"/>
      <c r="D27" s="136" t="s">
        <v>371</v>
      </c>
      <c r="E27" s="169" t="s">
        <v>300</v>
      </c>
      <c r="F27" s="137" t="s">
        <v>300</v>
      </c>
      <c r="G27" s="137" t="s">
        <v>300</v>
      </c>
      <c r="H27" s="137">
        <v>7300</v>
      </c>
      <c r="I27" s="137">
        <v>7300</v>
      </c>
      <c r="L27" s="125"/>
      <c r="M27" s="125"/>
      <c r="N27" s="125"/>
      <c r="O27" s="125"/>
      <c r="P27" s="125"/>
      <c r="Q27" s="125"/>
      <c r="R27" s="125"/>
      <c r="S27" s="125"/>
      <c r="T27" s="125"/>
      <c r="U27" s="125"/>
    </row>
    <row r="28" spans="1:22" ht="13.5" thickBot="1" x14ac:dyDescent="0.25">
      <c r="A28" s="379"/>
      <c r="B28" s="361"/>
      <c r="C28" s="362"/>
      <c r="D28" s="147" t="s">
        <v>372</v>
      </c>
      <c r="E28" s="180" t="s">
        <v>300</v>
      </c>
      <c r="F28" s="181" t="s">
        <v>300</v>
      </c>
      <c r="G28" s="181" t="s">
        <v>300</v>
      </c>
      <c r="H28" s="182">
        <v>9000</v>
      </c>
      <c r="I28" s="182">
        <v>9000</v>
      </c>
      <c r="L28" s="125"/>
      <c r="M28" s="125"/>
      <c r="N28" s="125"/>
      <c r="O28" s="125"/>
      <c r="P28" s="125"/>
      <c r="Q28" s="125"/>
      <c r="R28" s="125"/>
      <c r="S28" s="125"/>
      <c r="T28" s="125"/>
      <c r="U28" s="125"/>
    </row>
    <row r="31" spans="1:22" x14ac:dyDescent="0.2">
      <c r="K31" s="184"/>
      <c r="L31" s="184"/>
      <c r="M31" s="363"/>
      <c r="N31" s="363"/>
      <c r="O31" s="363"/>
      <c r="P31" s="363"/>
      <c r="Q31" s="363"/>
      <c r="R31" s="363"/>
    </row>
    <row r="32" spans="1:22" x14ac:dyDescent="0.2">
      <c r="K32" s="184"/>
      <c r="L32" s="184"/>
      <c r="M32" s="186"/>
      <c r="N32" s="185"/>
      <c r="O32" s="185"/>
      <c r="P32" s="185"/>
      <c r="Q32" s="185"/>
      <c r="R32" s="185"/>
    </row>
    <row r="33" spans="11:18" ht="15.75" x14ac:dyDescent="0.2">
      <c r="K33" s="187"/>
      <c r="L33" s="188"/>
      <c r="M33" s="189"/>
      <c r="N33" s="189"/>
      <c r="O33" s="189"/>
      <c r="P33" s="189"/>
      <c r="Q33" s="189"/>
      <c r="R33" s="189"/>
    </row>
    <row r="34" spans="11:18" x14ac:dyDescent="0.2">
      <c r="K34" s="356"/>
      <c r="L34" s="190"/>
      <c r="M34" s="355"/>
      <c r="N34" s="355"/>
      <c r="O34" s="355"/>
      <c r="P34" s="355"/>
      <c r="Q34" s="355"/>
      <c r="R34" s="355"/>
    </row>
    <row r="35" spans="11:18" x14ac:dyDescent="0.2">
      <c r="K35" s="356"/>
      <c r="L35" s="190"/>
      <c r="M35" s="355"/>
      <c r="N35" s="355"/>
      <c r="O35" s="355"/>
      <c r="P35" s="355"/>
      <c r="Q35" s="355"/>
      <c r="R35" s="355"/>
    </row>
    <row r="36" spans="11:18" x14ac:dyDescent="0.2">
      <c r="K36" s="356"/>
      <c r="L36" s="190"/>
      <c r="M36" s="355"/>
      <c r="N36" s="355"/>
      <c r="O36" s="355"/>
      <c r="P36" s="355"/>
      <c r="Q36" s="355"/>
      <c r="R36" s="355"/>
    </row>
    <row r="37" spans="11:18" x14ac:dyDescent="0.2">
      <c r="K37" s="356"/>
      <c r="L37" s="190"/>
      <c r="M37" s="355"/>
      <c r="N37" s="355"/>
      <c r="O37" s="355"/>
      <c r="P37" s="355"/>
      <c r="Q37" s="355"/>
      <c r="R37" s="355"/>
    </row>
    <row r="38" spans="11:18" x14ac:dyDescent="0.2">
      <c r="K38" s="356"/>
      <c r="L38" s="190"/>
      <c r="M38" s="355"/>
      <c r="N38" s="355"/>
      <c r="O38" s="355"/>
      <c r="P38" s="355"/>
      <c r="Q38" s="355"/>
      <c r="R38" s="355"/>
    </row>
    <row r="39" spans="11:18" x14ac:dyDescent="0.2">
      <c r="K39" s="356"/>
      <c r="L39" s="190"/>
      <c r="M39" s="355"/>
      <c r="N39" s="355"/>
      <c r="O39" s="355"/>
      <c r="P39" s="355"/>
      <c r="Q39" s="355"/>
      <c r="R39" s="355"/>
    </row>
  </sheetData>
  <mergeCells count="35">
    <mergeCell ref="R38:R39"/>
    <mergeCell ref="K38:K39"/>
    <mergeCell ref="M38:M39"/>
    <mergeCell ref="N38:N39"/>
    <mergeCell ref="O38:O39"/>
    <mergeCell ref="P38:P39"/>
    <mergeCell ref="Q38:Q39"/>
    <mergeCell ref="R34:R35"/>
    <mergeCell ref="K36:K37"/>
    <mergeCell ref="M36:M37"/>
    <mergeCell ref="N36:N37"/>
    <mergeCell ref="O36:O37"/>
    <mergeCell ref="P36:P37"/>
    <mergeCell ref="Q36:Q37"/>
    <mergeCell ref="R36:R37"/>
    <mergeCell ref="K34:K35"/>
    <mergeCell ref="M34:M35"/>
    <mergeCell ref="N34:N35"/>
    <mergeCell ref="O34:O35"/>
    <mergeCell ref="P34:P35"/>
    <mergeCell ref="Q34:Q35"/>
    <mergeCell ref="M31:R31"/>
    <mergeCell ref="A2:J3"/>
    <mergeCell ref="K2:M3"/>
    <mergeCell ref="A16:A19"/>
    <mergeCell ref="B16:B19"/>
    <mergeCell ref="C16:C19"/>
    <mergeCell ref="D16:D19"/>
    <mergeCell ref="E17:J17"/>
    <mergeCell ref="E19:G19"/>
    <mergeCell ref="A20:A28"/>
    <mergeCell ref="C20:C22"/>
    <mergeCell ref="C23:C25"/>
    <mergeCell ref="B26:B28"/>
    <mergeCell ref="C26:C28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O33"/>
  <sheetViews>
    <sheetView zoomScale="75" workbookViewId="0">
      <selection activeCell="S15" sqref="S15"/>
    </sheetView>
  </sheetViews>
  <sheetFormatPr defaultRowHeight="12.75" x14ac:dyDescent="0.2"/>
  <cols>
    <col min="1" max="1" width="14.140625" customWidth="1"/>
    <col min="2" max="2" width="4.140625" customWidth="1"/>
    <col min="3" max="3" width="6.42578125" customWidth="1"/>
    <col min="5" max="5" width="7" customWidth="1"/>
    <col min="7" max="7" width="8" customWidth="1"/>
    <col min="11" max="11" width="8.7109375" customWidth="1"/>
    <col min="15" max="15" width="10.8554687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13</v>
      </c>
      <c r="B5" s="22"/>
      <c r="C5" s="17">
        <v>1922</v>
      </c>
      <c r="D5" s="5">
        <v>1870</v>
      </c>
      <c r="E5" s="4">
        <v>290.5</v>
      </c>
      <c r="F5" s="5">
        <v>139.5</v>
      </c>
      <c r="G5" s="4">
        <v>330</v>
      </c>
      <c r="H5" s="5">
        <v>203.2</v>
      </c>
      <c r="I5" s="11" t="s">
        <v>67</v>
      </c>
      <c r="J5" s="8" t="s">
        <v>66</v>
      </c>
      <c r="K5" s="10">
        <v>1.3408</v>
      </c>
      <c r="L5" s="10">
        <v>1.3408</v>
      </c>
      <c r="M5" s="6"/>
      <c r="N5" s="4">
        <v>1.3240000000000001</v>
      </c>
      <c r="O5" s="6"/>
    </row>
    <row r="6" spans="1:15" x14ac:dyDescent="0.2">
      <c r="A6" s="7" t="s">
        <v>14</v>
      </c>
      <c r="B6" s="22"/>
      <c r="C6" s="17">
        <v>1922</v>
      </c>
      <c r="D6" s="5">
        <v>1870</v>
      </c>
      <c r="E6" s="4">
        <v>290.5</v>
      </c>
      <c r="F6" s="5">
        <v>139.5</v>
      </c>
      <c r="G6" s="4">
        <v>330</v>
      </c>
      <c r="H6" s="5">
        <v>203.2</v>
      </c>
      <c r="I6" s="11" t="s">
        <v>67</v>
      </c>
      <c r="J6" s="8" t="s">
        <v>66</v>
      </c>
      <c r="K6" s="10">
        <v>1.3408</v>
      </c>
      <c r="L6" s="10">
        <v>1.3408</v>
      </c>
      <c r="M6" s="6"/>
      <c r="N6" s="4">
        <v>1.3240000000000001</v>
      </c>
      <c r="O6" s="6"/>
    </row>
    <row r="7" spans="1:15" x14ac:dyDescent="0.2">
      <c r="A7" s="7" t="s">
        <v>15</v>
      </c>
      <c r="B7" s="22"/>
      <c r="C7" s="17">
        <v>2012</v>
      </c>
      <c r="D7" s="5">
        <v>1870</v>
      </c>
      <c r="E7" s="4">
        <v>362.5</v>
      </c>
      <c r="F7" s="5">
        <v>221.2</v>
      </c>
      <c r="G7" s="4">
        <v>405</v>
      </c>
      <c r="H7" s="5">
        <v>275</v>
      </c>
      <c r="I7" s="11" t="s">
        <v>67</v>
      </c>
      <c r="J7" s="8" t="s">
        <v>66</v>
      </c>
      <c r="K7" s="6">
        <v>1.3207</v>
      </c>
      <c r="L7" s="6">
        <v>1.3207</v>
      </c>
      <c r="M7" s="6"/>
      <c r="N7" s="4">
        <v>1.3240000000000001</v>
      </c>
      <c r="O7" s="6"/>
    </row>
    <row r="8" spans="1:15" x14ac:dyDescent="0.2">
      <c r="A8" s="7" t="s">
        <v>16</v>
      </c>
      <c r="B8" s="22"/>
      <c r="C8" s="17">
        <v>2012</v>
      </c>
      <c r="D8" s="5">
        <v>1870</v>
      </c>
      <c r="E8" s="4">
        <v>362.5</v>
      </c>
      <c r="F8" s="5">
        <v>221.2</v>
      </c>
      <c r="G8" s="4">
        <v>405</v>
      </c>
      <c r="H8" s="5">
        <v>275</v>
      </c>
      <c r="I8" s="11" t="s">
        <v>67</v>
      </c>
      <c r="J8" s="8" t="s">
        <v>66</v>
      </c>
      <c r="K8" s="6" t="s">
        <v>17</v>
      </c>
      <c r="L8" s="6" t="s">
        <v>17</v>
      </c>
      <c r="M8" s="6"/>
      <c r="N8" s="4">
        <v>1.3237000000000001</v>
      </c>
      <c r="O8" s="6"/>
    </row>
    <row r="9" spans="1:15" x14ac:dyDescent="0.2">
      <c r="A9" s="7"/>
      <c r="B9" s="22"/>
      <c r="C9" s="17"/>
      <c r="D9" s="5"/>
      <c r="E9" s="4"/>
      <c r="F9" s="5"/>
      <c r="G9" s="4"/>
      <c r="H9" s="5"/>
      <c r="I9" s="11"/>
      <c r="J9" s="8"/>
      <c r="K9" s="6"/>
      <c r="L9" s="6"/>
      <c r="M9" s="6"/>
      <c r="N9" s="4"/>
      <c r="O9" s="6"/>
    </row>
    <row r="10" spans="1:15" x14ac:dyDescent="0.2">
      <c r="A10" s="7" t="s">
        <v>13</v>
      </c>
      <c r="B10" s="22"/>
      <c r="C10" s="17">
        <v>1922</v>
      </c>
      <c r="D10" s="5">
        <v>1870</v>
      </c>
      <c r="E10" s="4">
        <v>290.5</v>
      </c>
      <c r="F10" s="5">
        <v>139.5</v>
      </c>
      <c r="G10" s="4">
        <v>330</v>
      </c>
      <c r="H10" s="5">
        <v>203.2</v>
      </c>
      <c r="I10" s="11" t="s">
        <v>67</v>
      </c>
      <c r="J10" s="8" t="s">
        <v>66</v>
      </c>
      <c r="K10" s="6"/>
      <c r="L10" s="6"/>
      <c r="M10" s="6" t="s">
        <v>56</v>
      </c>
      <c r="N10" s="6">
        <v>1.341</v>
      </c>
      <c r="O10" s="6"/>
    </row>
    <row r="11" spans="1:15" x14ac:dyDescent="0.2">
      <c r="A11" s="7" t="s">
        <v>14</v>
      </c>
      <c r="B11" s="22"/>
      <c r="C11" s="17">
        <v>1922</v>
      </c>
      <c r="D11" s="5">
        <v>1870</v>
      </c>
      <c r="E11" s="4">
        <v>290.5</v>
      </c>
      <c r="F11" s="5">
        <v>139.5</v>
      </c>
      <c r="G11" s="4">
        <v>330</v>
      </c>
      <c r="H11" s="5">
        <v>203.2</v>
      </c>
      <c r="I11" s="11" t="s">
        <v>67</v>
      </c>
      <c r="J11" s="8" t="s">
        <v>66</v>
      </c>
      <c r="K11" s="6"/>
      <c r="L11" s="6"/>
      <c r="M11" s="6" t="s">
        <v>55</v>
      </c>
      <c r="N11" s="6">
        <v>1.341</v>
      </c>
      <c r="O11" s="6"/>
    </row>
    <row r="12" spans="1:15" x14ac:dyDescent="0.2">
      <c r="A12" s="7" t="s">
        <v>15</v>
      </c>
      <c r="B12" s="22"/>
      <c r="C12" s="17">
        <v>1900</v>
      </c>
      <c r="D12" s="5">
        <v>1870</v>
      </c>
      <c r="E12" s="4">
        <v>362.5</v>
      </c>
      <c r="F12" s="5">
        <v>221.2</v>
      </c>
      <c r="G12" s="4">
        <v>405</v>
      </c>
      <c r="H12" s="5">
        <v>275</v>
      </c>
      <c r="I12" s="11" t="s">
        <v>67</v>
      </c>
      <c r="J12" s="8" t="s">
        <v>66</v>
      </c>
      <c r="K12" s="6"/>
      <c r="L12" s="4">
        <v>1.321</v>
      </c>
      <c r="M12" s="6" t="s">
        <v>55</v>
      </c>
      <c r="N12" s="4">
        <v>1.321</v>
      </c>
      <c r="O12" s="6"/>
    </row>
    <row r="13" spans="1:15" x14ac:dyDescent="0.2">
      <c r="A13" s="7" t="s">
        <v>16</v>
      </c>
      <c r="B13" s="22"/>
      <c r="C13" s="17">
        <v>1900</v>
      </c>
      <c r="D13" s="5">
        <v>1870</v>
      </c>
      <c r="E13" s="4">
        <v>362.5</v>
      </c>
      <c r="F13" s="5">
        <v>221.2</v>
      </c>
      <c r="G13" s="4">
        <v>405</v>
      </c>
      <c r="H13" s="5">
        <v>275</v>
      </c>
      <c r="I13" s="11" t="s">
        <v>67</v>
      </c>
      <c r="J13" s="8" t="s">
        <v>66</v>
      </c>
      <c r="K13" s="6"/>
      <c r="L13" s="6"/>
      <c r="M13" s="6" t="s">
        <v>55</v>
      </c>
      <c r="N13" s="4">
        <v>1.3240000000000001</v>
      </c>
      <c r="O13" s="6"/>
    </row>
    <row r="14" spans="1:15" x14ac:dyDescent="0.2">
      <c r="A14" s="7"/>
      <c r="B14" s="22"/>
      <c r="C14" s="17"/>
      <c r="D14" s="5"/>
      <c r="E14" s="4"/>
      <c r="F14" s="5"/>
      <c r="G14" s="4"/>
      <c r="H14" s="5"/>
      <c r="I14" s="11"/>
      <c r="J14" s="8"/>
      <c r="K14" s="6"/>
      <c r="L14" s="6"/>
      <c r="M14" s="6"/>
      <c r="N14" s="4"/>
      <c r="O14" s="6"/>
    </row>
    <row r="15" spans="1:15" x14ac:dyDescent="0.2">
      <c r="A15" s="7" t="s">
        <v>58</v>
      </c>
      <c r="B15" s="22"/>
      <c r="C15" s="17">
        <v>1922</v>
      </c>
      <c r="D15" s="5">
        <v>1870</v>
      </c>
      <c r="E15" s="4">
        <v>290</v>
      </c>
      <c r="F15" s="5">
        <v>139.5</v>
      </c>
      <c r="G15" s="4">
        <v>330</v>
      </c>
      <c r="H15" s="5">
        <v>203.2</v>
      </c>
      <c r="I15" s="11" t="s">
        <v>67</v>
      </c>
      <c r="J15" s="8" t="s">
        <v>66</v>
      </c>
      <c r="K15" s="6">
        <v>1.341</v>
      </c>
      <c r="L15" s="6">
        <v>1.341</v>
      </c>
      <c r="M15" s="6"/>
      <c r="N15" s="4">
        <v>1.341</v>
      </c>
      <c r="O15" s="6"/>
    </row>
    <row r="16" spans="1:15" x14ac:dyDescent="0.2">
      <c r="A16" s="7" t="s">
        <v>61</v>
      </c>
      <c r="B16" s="22"/>
      <c r="C16" s="17">
        <v>1900</v>
      </c>
      <c r="D16" s="5">
        <v>1870</v>
      </c>
      <c r="E16" s="4">
        <v>290</v>
      </c>
      <c r="F16" s="5">
        <v>139.5</v>
      </c>
      <c r="G16" s="4">
        <v>330</v>
      </c>
      <c r="H16" s="5">
        <v>203.2</v>
      </c>
      <c r="I16" s="11" t="s">
        <v>67</v>
      </c>
      <c r="J16" s="8" t="s">
        <v>66</v>
      </c>
      <c r="K16" s="6">
        <v>1.341</v>
      </c>
      <c r="L16" s="6">
        <v>1.341</v>
      </c>
      <c r="M16" s="6"/>
      <c r="N16" s="6">
        <v>1.341</v>
      </c>
      <c r="O16" s="6"/>
    </row>
    <row r="17" spans="1:15" x14ac:dyDescent="0.2">
      <c r="A17" s="7" t="s">
        <v>59</v>
      </c>
      <c r="B17" s="22"/>
      <c r="C17" s="17">
        <v>1922</v>
      </c>
      <c r="D17" s="5">
        <v>1870</v>
      </c>
      <c r="E17" s="4">
        <v>290</v>
      </c>
      <c r="F17" s="5">
        <v>139.5</v>
      </c>
      <c r="G17" s="4">
        <v>330</v>
      </c>
      <c r="H17" s="5">
        <v>203.2</v>
      </c>
      <c r="I17" s="11" t="s">
        <v>67</v>
      </c>
      <c r="J17" s="8" t="s">
        <v>66</v>
      </c>
      <c r="K17" s="6">
        <v>1.341</v>
      </c>
      <c r="L17" s="6">
        <v>1.341</v>
      </c>
      <c r="M17" s="6"/>
      <c r="N17" s="6">
        <v>1.341</v>
      </c>
      <c r="O17" s="6"/>
    </row>
    <row r="18" spans="1:15" x14ac:dyDescent="0.2">
      <c r="A18" s="7" t="s">
        <v>63</v>
      </c>
      <c r="B18" s="22"/>
      <c r="C18" s="17">
        <v>1900</v>
      </c>
      <c r="D18" s="5">
        <v>1870</v>
      </c>
      <c r="E18" s="4">
        <v>290</v>
      </c>
      <c r="F18" s="5">
        <v>139.5</v>
      </c>
      <c r="G18" s="4">
        <v>330</v>
      </c>
      <c r="H18" s="5">
        <v>203.2</v>
      </c>
      <c r="I18" s="11" t="s">
        <v>67</v>
      </c>
      <c r="J18" s="8" t="s">
        <v>66</v>
      </c>
      <c r="K18" s="6">
        <v>1.341</v>
      </c>
      <c r="L18" s="6">
        <v>1.341</v>
      </c>
      <c r="M18" s="6"/>
      <c r="N18" s="6">
        <v>1.341</v>
      </c>
      <c r="O18" s="6"/>
    </row>
    <row r="19" spans="1:15" x14ac:dyDescent="0.2">
      <c r="A19" s="7" t="s">
        <v>60</v>
      </c>
      <c r="B19" s="22"/>
      <c r="C19" s="17">
        <v>1922</v>
      </c>
      <c r="D19" s="5">
        <v>1870</v>
      </c>
      <c r="E19" s="4">
        <v>290</v>
      </c>
      <c r="F19" s="5">
        <v>221</v>
      </c>
      <c r="G19" s="4">
        <v>330</v>
      </c>
      <c r="H19" s="5">
        <v>275</v>
      </c>
      <c r="I19" s="11" t="s">
        <v>67</v>
      </c>
      <c r="J19" s="8" t="s">
        <v>66</v>
      </c>
      <c r="K19" s="6"/>
      <c r="L19" s="6"/>
      <c r="M19" s="6"/>
      <c r="N19" s="4">
        <v>1.321</v>
      </c>
      <c r="O19" s="6"/>
    </row>
    <row r="20" spans="1:15" x14ac:dyDescent="0.2">
      <c r="A20" s="7" t="s">
        <v>62</v>
      </c>
      <c r="B20" s="22"/>
      <c r="C20" s="17">
        <v>1900</v>
      </c>
      <c r="D20" s="5">
        <v>1870</v>
      </c>
      <c r="E20" s="4">
        <v>290</v>
      </c>
      <c r="F20" s="5">
        <v>221</v>
      </c>
      <c r="G20" s="4">
        <v>330</v>
      </c>
      <c r="H20" s="5">
        <v>275</v>
      </c>
      <c r="I20" s="11" t="s">
        <v>67</v>
      </c>
      <c r="J20" s="8" t="s">
        <v>66</v>
      </c>
      <c r="K20" s="6"/>
      <c r="L20" s="6"/>
      <c r="M20" s="6"/>
      <c r="N20" s="4">
        <v>1.321</v>
      </c>
      <c r="O20" s="6"/>
    </row>
    <row r="21" spans="1:15" x14ac:dyDescent="0.2">
      <c r="A21" s="7" t="s">
        <v>64</v>
      </c>
      <c r="B21" s="22"/>
      <c r="C21" s="17">
        <v>1900</v>
      </c>
      <c r="D21" s="5">
        <v>1870</v>
      </c>
      <c r="E21" s="4">
        <v>362</v>
      </c>
      <c r="F21" s="5">
        <v>221</v>
      </c>
      <c r="G21" s="4">
        <v>405</v>
      </c>
      <c r="H21" s="5">
        <v>275</v>
      </c>
      <c r="I21" s="11" t="s">
        <v>67</v>
      </c>
      <c r="J21" s="8" t="s">
        <v>66</v>
      </c>
      <c r="K21" s="6"/>
      <c r="L21" s="6"/>
      <c r="M21" s="6"/>
      <c r="N21" s="4">
        <v>1.321</v>
      </c>
      <c r="O21" s="6">
        <v>1.321</v>
      </c>
    </row>
    <row r="22" spans="1:15" x14ac:dyDescent="0.2">
      <c r="A22" s="7" t="s">
        <v>65</v>
      </c>
      <c r="B22" s="22"/>
      <c r="C22" s="17">
        <v>1900</v>
      </c>
      <c r="D22" s="5">
        <v>1870</v>
      </c>
      <c r="E22" s="4">
        <v>362</v>
      </c>
      <c r="F22" s="5">
        <v>221</v>
      </c>
      <c r="G22" s="4">
        <v>405</v>
      </c>
      <c r="H22" s="5">
        <v>275</v>
      </c>
      <c r="I22" s="11" t="s">
        <v>67</v>
      </c>
      <c r="J22" s="8" t="s">
        <v>66</v>
      </c>
      <c r="K22" s="6"/>
      <c r="L22" s="6"/>
      <c r="M22" s="6"/>
      <c r="N22" s="4">
        <v>1.3240000000000001</v>
      </c>
      <c r="O22" s="6">
        <v>1.321</v>
      </c>
    </row>
    <row r="23" spans="1:15" x14ac:dyDescent="0.2">
      <c r="A23" s="7" t="s">
        <v>69</v>
      </c>
      <c r="B23" s="22"/>
      <c r="C23" s="17"/>
      <c r="D23" s="5"/>
      <c r="E23" s="4"/>
      <c r="F23" s="5"/>
      <c r="G23" s="4"/>
      <c r="H23" s="5"/>
      <c r="I23" s="11"/>
      <c r="J23" s="8"/>
      <c r="K23" s="6"/>
      <c r="L23" s="6"/>
      <c r="M23" s="6"/>
      <c r="N23" s="4"/>
      <c r="O23" s="6"/>
    </row>
    <row r="24" spans="1:15" x14ac:dyDescent="0.2">
      <c r="A24" s="7"/>
      <c r="B24" s="22"/>
      <c r="C24" s="17"/>
      <c r="D24" s="5"/>
      <c r="E24" s="4"/>
      <c r="F24" s="5"/>
      <c r="G24" s="4"/>
      <c r="H24" s="5"/>
      <c r="I24" s="11"/>
      <c r="J24" s="8"/>
      <c r="K24" s="6"/>
      <c r="L24" s="6"/>
      <c r="M24" s="6"/>
      <c r="N24" s="4"/>
      <c r="O24" s="6"/>
    </row>
    <row r="25" spans="1:15" x14ac:dyDescent="0.2">
      <c r="A25" s="7" t="s">
        <v>81</v>
      </c>
      <c r="B25" s="22"/>
      <c r="C25" s="17">
        <v>1922</v>
      </c>
      <c r="D25" s="5">
        <v>1870</v>
      </c>
      <c r="E25" s="4">
        <v>290</v>
      </c>
      <c r="F25" s="5">
        <v>139.5</v>
      </c>
      <c r="G25" s="4">
        <v>330</v>
      </c>
      <c r="H25" s="5">
        <v>203.2</v>
      </c>
      <c r="I25" s="11" t="s">
        <v>67</v>
      </c>
      <c r="J25" s="8" t="s">
        <v>66</v>
      </c>
      <c r="K25" s="6">
        <v>1.341</v>
      </c>
      <c r="L25" s="6">
        <v>1.341</v>
      </c>
      <c r="M25" s="6"/>
      <c r="N25" s="4">
        <v>1.341</v>
      </c>
      <c r="O25" s="6">
        <v>1.341</v>
      </c>
    </row>
    <row r="26" spans="1:15" x14ac:dyDescent="0.2">
      <c r="A26" s="7" t="s">
        <v>82</v>
      </c>
      <c r="B26" s="22"/>
      <c r="C26" s="17">
        <v>1900</v>
      </c>
      <c r="D26" s="5">
        <v>1870</v>
      </c>
      <c r="E26" s="4">
        <v>290</v>
      </c>
      <c r="F26" s="5">
        <v>139.5</v>
      </c>
      <c r="G26" s="4">
        <v>330</v>
      </c>
      <c r="H26" s="5">
        <v>203.2</v>
      </c>
      <c r="I26" s="11" t="s">
        <v>67</v>
      </c>
      <c r="J26" s="8" t="s">
        <v>66</v>
      </c>
      <c r="K26" s="6">
        <v>1.341</v>
      </c>
      <c r="L26" s="6">
        <v>1.341</v>
      </c>
      <c r="M26" s="6"/>
      <c r="N26" s="6">
        <v>1.341</v>
      </c>
      <c r="O26" s="6">
        <v>1.341</v>
      </c>
    </row>
    <row r="27" spans="1:15" x14ac:dyDescent="0.2">
      <c r="A27" s="7" t="s">
        <v>83</v>
      </c>
      <c r="B27" s="22"/>
      <c r="C27" s="17">
        <v>1922</v>
      </c>
      <c r="D27" s="5">
        <v>1870</v>
      </c>
      <c r="E27" s="4">
        <v>290</v>
      </c>
      <c r="F27" s="5">
        <v>139.5</v>
      </c>
      <c r="G27" s="4">
        <v>330</v>
      </c>
      <c r="H27" s="5">
        <v>203.2</v>
      </c>
      <c r="I27" s="11" t="s">
        <v>67</v>
      </c>
      <c r="J27" s="8" t="s">
        <v>66</v>
      </c>
      <c r="K27" s="6">
        <v>1.341</v>
      </c>
      <c r="L27" s="6">
        <v>1.341</v>
      </c>
      <c r="M27" s="6"/>
      <c r="N27" s="6">
        <v>1.341</v>
      </c>
      <c r="O27" s="6">
        <v>1.341</v>
      </c>
    </row>
    <row r="28" spans="1:15" x14ac:dyDescent="0.2">
      <c r="A28" s="7" t="s">
        <v>84</v>
      </c>
      <c r="B28" s="22"/>
      <c r="C28" s="17">
        <v>1900</v>
      </c>
      <c r="D28" s="5">
        <v>1870</v>
      </c>
      <c r="E28" s="4">
        <v>290</v>
      </c>
      <c r="F28" s="5">
        <v>139.5</v>
      </c>
      <c r="G28" s="4">
        <v>330</v>
      </c>
      <c r="H28" s="5">
        <v>203.2</v>
      </c>
      <c r="I28" s="11" t="s">
        <v>67</v>
      </c>
      <c r="J28" s="8" t="s">
        <v>66</v>
      </c>
      <c r="K28" s="6">
        <v>1.341</v>
      </c>
      <c r="L28" s="6">
        <v>1.341</v>
      </c>
      <c r="M28" s="6"/>
      <c r="N28" s="6">
        <v>1.341</v>
      </c>
      <c r="O28" s="6">
        <v>1.341</v>
      </c>
    </row>
    <row r="29" spans="1:15" x14ac:dyDescent="0.2">
      <c r="A29" s="7" t="s">
        <v>85</v>
      </c>
      <c r="B29" s="22"/>
      <c r="C29" s="17">
        <v>1922</v>
      </c>
      <c r="D29" s="5">
        <v>1870</v>
      </c>
      <c r="E29" s="4">
        <v>290</v>
      </c>
      <c r="F29" s="5">
        <v>221</v>
      </c>
      <c r="G29" s="4">
        <v>330</v>
      </c>
      <c r="H29" s="5">
        <v>275</v>
      </c>
      <c r="I29" s="11" t="s">
        <v>67</v>
      </c>
      <c r="J29" s="8" t="s">
        <v>66</v>
      </c>
      <c r="K29" s="6"/>
      <c r="L29" s="6"/>
      <c r="M29" s="6"/>
      <c r="N29" s="4">
        <v>1.321</v>
      </c>
      <c r="O29" s="6">
        <v>1.321</v>
      </c>
    </row>
    <row r="30" spans="1:15" x14ac:dyDescent="0.2">
      <c r="A30" s="7" t="s">
        <v>86</v>
      </c>
      <c r="B30" s="22"/>
      <c r="C30" s="17">
        <v>1900</v>
      </c>
      <c r="D30" s="5">
        <v>1870</v>
      </c>
      <c r="E30" s="4">
        <v>290</v>
      </c>
      <c r="F30" s="5">
        <v>221</v>
      </c>
      <c r="G30" s="4">
        <v>330</v>
      </c>
      <c r="H30" s="5">
        <v>275</v>
      </c>
      <c r="I30" s="11" t="s">
        <v>67</v>
      </c>
      <c r="J30" s="8" t="s">
        <v>66</v>
      </c>
      <c r="K30" s="6"/>
      <c r="L30" s="6"/>
      <c r="M30" s="6"/>
      <c r="N30" s="4">
        <v>1.321</v>
      </c>
      <c r="O30" s="6">
        <v>1.321</v>
      </c>
    </row>
    <row r="31" spans="1:15" x14ac:dyDescent="0.2">
      <c r="A31" s="7" t="s">
        <v>87</v>
      </c>
      <c r="B31" s="22"/>
      <c r="C31" s="17">
        <v>1900</v>
      </c>
      <c r="D31" s="5">
        <v>1870</v>
      </c>
      <c r="E31" s="4">
        <v>362</v>
      </c>
      <c r="F31" s="5">
        <v>221</v>
      </c>
      <c r="G31" s="4">
        <v>405</v>
      </c>
      <c r="H31" s="5">
        <v>275</v>
      </c>
      <c r="I31" s="11" t="s">
        <v>67</v>
      </c>
      <c r="J31" s="8" t="s">
        <v>66</v>
      </c>
      <c r="K31" s="6"/>
      <c r="L31" s="6"/>
      <c r="M31" s="6"/>
      <c r="N31" s="4">
        <v>1.321</v>
      </c>
      <c r="O31" s="6">
        <v>1.321</v>
      </c>
    </row>
    <row r="32" spans="1:15" x14ac:dyDescent="0.2">
      <c r="A32" s="7" t="s">
        <v>88</v>
      </c>
      <c r="B32" s="22"/>
      <c r="C32" s="17">
        <v>1900</v>
      </c>
      <c r="D32" s="5">
        <v>1870</v>
      </c>
      <c r="E32" s="4">
        <v>362</v>
      </c>
      <c r="F32" s="5">
        <v>281</v>
      </c>
      <c r="G32" s="4">
        <v>405</v>
      </c>
      <c r="H32" s="5">
        <v>335</v>
      </c>
      <c r="I32" s="11" t="s">
        <v>67</v>
      </c>
      <c r="J32" s="8" t="s">
        <v>90</v>
      </c>
      <c r="K32" s="6"/>
      <c r="L32" s="6"/>
      <c r="M32" s="6"/>
      <c r="N32" s="4"/>
      <c r="O32" s="6">
        <v>1.343</v>
      </c>
    </row>
    <row r="33" spans="1:15" x14ac:dyDescent="0.2">
      <c r="A33" s="7" t="s">
        <v>89</v>
      </c>
      <c r="B33" s="22"/>
      <c r="C33" s="17">
        <v>1900</v>
      </c>
      <c r="D33" s="5">
        <v>1870</v>
      </c>
      <c r="E33" s="4">
        <v>362</v>
      </c>
      <c r="F33" s="5">
        <v>281</v>
      </c>
      <c r="G33" s="4">
        <v>405</v>
      </c>
      <c r="H33" s="5">
        <v>335</v>
      </c>
      <c r="I33" s="11" t="s">
        <v>67</v>
      </c>
      <c r="J33" s="8" t="s">
        <v>90</v>
      </c>
      <c r="K33" s="6"/>
      <c r="L33" s="6"/>
      <c r="M33" s="6"/>
      <c r="N33" s="4"/>
      <c r="O33" s="6">
        <v>1.343</v>
      </c>
    </row>
  </sheetData>
  <sheetProtection password="D243" sheet="1" objects="1" scenarios="1"/>
  <mergeCells count="2">
    <mergeCell ref="A1:J2"/>
    <mergeCell ref="K1:O2"/>
  </mergeCells>
  <phoneticPr fontId="14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M36"/>
  <sheetViews>
    <sheetView zoomScale="75" workbookViewId="0">
      <selection activeCell="O17" sqref="O17"/>
    </sheetView>
  </sheetViews>
  <sheetFormatPr defaultRowHeight="12.75" x14ac:dyDescent="0.2"/>
  <cols>
    <col min="1" max="1" width="11.5703125" customWidth="1"/>
    <col min="2" max="2" width="8.7109375" style="117" customWidth="1"/>
    <col min="3" max="3" width="9.85546875" customWidth="1"/>
    <col min="5" max="5" width="8.85546875" customWidth="1"/>
    <col min="7" max="7" width="10.42578125" customWidth="1"/>
    <col min="11" max="11" width="10.42578125" customWidth="1"/>
    <col min="12" max="13" width="18.85546875" customWidth="1"/>
  </cols>
  <sheetData>
    <row r="1" spans="1:13" ht="12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326" t="s">
        <v>1</v>
      </c>
      <c r="L1" s="327"/>
      <c r="M1" s="327"/>
    </row>
    <row r="2" spans="1:13" ht="13.5" customHeight="1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</row>
    <row r="3" spans="1:13" ht="16.5" thickBot="1" x14ac:dyDescent="0.3">
      <c r="A3" s="26" t="s">
        <v>2</v>
      </c>
      <c r="B3" s="28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341</v>
      </c>
      <c r="L3" s="352" t="s">
        <v>289</v>
      </c>
      <c r="M3" s="353"/>
    </row>
    <row r="4" spans="1:13" ht="13.5" thickBot="1" x14ac:dyDescent="0.25">
      <c r="A4" s="47"/>
      <c r="B4" s="100" t="s">
        <v>167</v>
      </c>
      <c r="C4" s="49" t="s">
        <v>291</v>
      </c>
      <c r="D4" s="29" t="s">
        <v>12</v>
      </c>
      <c r="E4" s="50" t="s">
        <v>291</v>
      </c>
      <c r="F4" s="29" t="s">
        <v>12</v>
      </c>
      <c r="G4" s="50" t="s">
        <v>290</v>
      </c>
      <c r="H4" s="29" t="s">
        <v>12</v>
      </c>
      <c r="I4" s="49" t="s">
        <v>11</v>
      </c>
      <c r="J4" s="29" t="s">
        <v>12</v>
      </c>
      <c r="K4" s="47" t="s">
        <v>342</v>
      </c>
      <c r="L4" s="29" t="s">
        <v>296</v>
      </c>
      <c r="M4" s="47" t="s">
        <v>297</v>
      </c>
    </row>
    <row r="5" spans="1:13" x14ac:dyDescent="0.2">
      <c r="A5" s="7" t="s">
        <v>309</v>
      </c>
      <c r="B5" s="122" t="s">
        <v>294</v>
      </c>
      <c r="C5" s="17" t="s">
        <v>208</v>
      </c>
      <c r="D5" s="5">
        <v>1870</v>
      </c>
      <c r="E5" s="4" t="s">
        <v>292</v>
      </c>
      <c r="F5" s="5">
        <v>221</v>
      </c>
      <c r="G5" s="4" t="s">
        <v>212</v>
      </c>
      <c r="H5" s="5">
        <v>275</v>
      </c>
      <c r="I5" s="16" t="s">
        <v>67</v>
      </c>
      <c r="J5" s="8" t="s">
        <v>66</v>
      </c>
      <c r="K5" s="10" t="s">
        <v>298</v>
      </c>
      <c r="L5" s="13">
        <v>1321</v>
      </c>
      <c r="M5" s="154">
        <v>1323</v>
      </c>
    </row>
    <row r="6" spans="1:13" x14ac:dyDescent="0.2">
      <c r="A6" s="7" t="s">
        <v>310</v>
      </c>
      <c r="B6" s="122" t="s">
        <v>294</v>
      </c>
      <c r="C6" s="17" t="s">
        <v>208</v>
      </c>
      <c r="D6" s="5">
        <v>1870</v>
      </c>
      <c r="E6" s="4" t="s">
        <v>292</v>
      </c>
      <c r="F6" s="5">
        <v>221</v>
      </c>
      <c r="G6" s="4" t="s">
        <v>295</v>
      </c>
      <c r="H6" s="5">
        <v>275</v>
      </c>
      <c r="I6" s="16" t="s">
        <v>67</v>
      </c>
      <c r="J6" s="8" t="s">
        <v>66</v>
      </c>
      <c r="K6" s="10" t="s">
        <v>298</v>
      </c>
      <c r="L6" s="13">
        <v>1321</v>
      </c>
      <c r="M6" s="154">
        <v>1323</v>
      </c>
    </row>
    <row r="7" spans="1:13" x14ac:dyDescent="0.2">
      <c r="A7" s="7" t="s">
        <v>311</v>
      </c>
      <c r="B7" s="122" t="s">
        <v>293</v>
      </c>
      <c r="C7" s="17" t="s">
        <v>142</v>
      </c>
      <c r="D7" s="5">
        <v>1870</v>
      </c>
      <c r="E7" s="4">
        <v>362</v>
      </c>
      <c r="F7" s="5">
        <v>221</v>
      </c>
      <c r="G7" s="4">
        <v>405</v>
      </c>
      <c r="H7" s="5">
        <v>275</v>
      </c>
      <c r="I7" s="16" t="s">
        <v>67</v>
      </c>
      <c r="J7" s="8" t="s">
        <v>66</v>
      </c>
      <c r="K7" s="10" t="s">
        <v>298</v>
      </c>
      <c r="L7" s="13">
        <v>1321</v>
      </c>
      <c r="M7" s="154">
        <v>1323</v>
      </c>
    </row>
    <row r="8" spans="1:13" x14ac:dyDescent="0.2">
      <c r="A8" s="7" t="s">
        <v>312</v>
      </c>
      <c r="B8" s="122" t="s">
        <v>293</v>
      </c>
      <c r="C8" s="17" t="s">
        <v>142</v>
      </c>
      <c r="D8" s="5">
        <v>1870</v>
      </c>
      <c r="E8" s="4">
        <v>362</v>
      </c>
      <c r="F8" s="5">
        <v>221</v>
      </c>
      <c r="G8" s="4">
        <v>405</v>
      </c>
      <c r="H8" s="5">
        <v>275</v>
      </c>
      <c r="I8" s="16" t="s">
        <v>258</v>
      </c>
      <c r="J8" s="8" t="s">
        <v>66</v>
      </c>
      <c r="K8" s="10" t="s">
        <v>298</v>
      </c>
      <c r="L8" s="13">
        <v>1321</v>
      </c>
      <c r="M8" s="154">
        <v>1323</v>
      </c>
    </row>
    <row r="9" spans="1:13" x14ac:dyDescent="0.2">
      <c r="A9" s="7"/>
      <c r="B9" s="122"/>
      <c r="C9" s="17"/>
      <c r="D9" s="5"/>
      <c r="E9" s="4"/>
      <c r="F9" s="5"/>
      <c r="G9" s="4"/>
      <c r="H9" s="5"/>
      <c r="I9" s="16"/>
      <c r="J9" s="8"/>
      <c r="K9" s="6"/>
      <c r="L9" s="13"/>
      <c r="M9" s="154"/>
    </row>
    <row r="10" spans="1:13" x14ac:dyDescent="0.2">
      <c r="A10" s="7" t="s">
        <v>313</v>
      </c>
      <c r="B10" s="122" t="s">
        <v>294</v>
      </c>
      <c r="C10" s="17" t="s">
        <v>208</v>
      </c>
      <c r="D10" s="5">
        <v>1870</v>
      </c>
      <c r="E10" s="4" t="s">
        <v>292</v>
      </c>
      <c r="F10" s="5">
        <v>221</v>
      </c>
      <c r="G10" s="4" t="s">
        <v>212</v>
      </c>
      <c r="H10" s="5">
        <v>275</v>
      </c>
      <c r="I10" s="16" t="s">
        <v>67</v>
      </c>
      <c r="J10" s="8" t="s">
        <v>66</v>
      </c>
      <c r="K10" s="10" t="s">
        <v>298</v>
      </c>
      <c r="L10" s="13">
        <v>1321</v>
      </c>
      <c r="M10" s="154">
        <v>1323</v>
      </c>
    </row>
    <row r="11" spans="1:13" x14ac:dyDescent="0.2">
      <c r="A11" s="7" t="s">
        <v>314</v>
      </c>
      <c r="B11" s="122" t="s">
        <v>294</v>
      </c>
      <c r="C11" s="17" t="s">
        <v>208</v>
      </c>
      <c r="D11" s="5">
        <v>1870</v>
      </c>
      <c r="E11" s="4" t="s">
        <v>292</v>
      </c>
      <c r="F11" s="5">
        <v>221</v>
      </c>
      <c r="G11" s="4" t="s">
        <v>295</v>
      </c>
      <c r="H11" s="5">
        <v>275</v>
      </c>
      <c r="I11" s="16" t="s">
        <v>67</v>
      </c>
      <c r="J11" s="8" t="s">
        <v>66</v>
      </c>
      <c r="K11" s="10" t="s">
        <v>298</v>
      </c>
      <c r="L11" s="13">
        <v>1321</v>
      </c>
      <c r="M11" s="154">
        <v>1323</v>
      </c>
    </row>
    <row r="12" spans="1:13" x14ac:dyDescent="0.2">
      <c r="A12" s="7" t="s">
        <v>315</v>
      </c>
      <c r="B12" s="122" t="s">
        <v>293</v>
      </c>
      <c r="C12" s="17" t="s">
        <v>142</v>
      </c>
      <c r="D12" s="5">
        <v>1870</v>
      </c>
      <c r="E12" s="4">
        <v>362</v>
      </c>
      <c r="F12" s="5">
        <v>221</v>
      </c>
      <c r="G12" s="4">
        <v>405</v>
      </c>
      <c r="H12" s="5">
        <v>275</v>
      </c>
      <c r="I12" s="16" t="s">
        <v>67</v>
      </c>
      <c r="J12" s="8" t="s">
        <v>66</v>
      </c>
      <c r="K12" s="10" t="s">
        <v>298</v>
      </c>
      <c r="L12" s="13">
        <v>1321</v>
      </c>
      <c r="M12" s="154">
        <v>1323</v>
      </c>
    </row>
    <row r="13" spans="1:13" x14ac:dyDescent="0.2">
      <c r="A13" s="7" t="s">
        <v>316</v>
      </c>
      <c r="B13" s="122" t="s">
        <v>293</v>
      </c>
      <c r="C13" s="17" t="s">
        <v>142</v>
      </c>
      <c r="D13" s="5">
        <v>1870</v>
      </c>
      <c r="E13" s="4">
        <v>362</v>
      </c>
      <c r="F13" s="5">
        <v>221</v>
      </c>
      <c r="G13" s="4">
        <v>405</v>
      </c>
      <c r="H13" s="5">
        <v>275</v>
      </c>
      <c r="I13" s="16" t="s">
        <v>258</v>
      </c>
      <c r="J13" s="8" t="s">
        <v>66</v>
      </c>
      <c r="K13" s="10" t="s">
        <v>298</v>
      </c>
      <c r="L13" s="13">
        <v>1321</v>
      </c>
      <c r="M13" s="154">
        <v>1323</v>
      </c>
    </row>
    <row r="14" spans="1:13" x14ac:dyDescent="0.2">
      <c r="A14" s="7"/>
      <c r="B14" s="122"/>
      <c r="C14" s="17"/>
      <c r="D14" s="5"/>
      <c r="E14" s="4"/>
      <c r="F14" s="5"/>
      <c r="G14" s="4"/>
      <c r="H14" s="5"/>
      <c r="I14" s="16"/>
      <c r="J14" s="8"/>
      <c r="K14" s="6"/>
      <c r="L14" s="13"/>
      <c r="M14" s="154"/>
    </row>
    <row r="15" spans="1:13" x14ac:dyDescent="0.2">
      <c r="A15" s="7"/>
      <c r="B15" s="122"/>
      <c r="C15" s="17"/>
      <c r="D15" s="5"/>
      <c r="E15" s="4"/>
      <c r="F15" s="5"/>
      <c r="G15" s="4"/>
      <c r="H15" s="5"/>
      <c r="I15" s="16"/>
      <c r="J15" s="8"/>
      <c r="K15" s="6"/>
      <c r="L15" s="13"/>
      <c r="M15" s="154"/>
    </row>
    <row r="16" spans="1:13" x14ac:dyDescent="0.2">
      <c r="A16" s="7" t="s">
        <v>317</v>
      </c>
      <c r="B16" s="122" t="s">
        <v>294</v>
      </c>
      <c r="C16" s="17" t="s">
        <v>208</v>
      </c>
      <c r="D16" s="5">
        <v>1870</v>
      </c>
      <c r="E16" s="4" t="s">
        <v>292</v>
      </c>
      <c r="F16" s="5">
        <v>221</v>
      </c>
      <c r="G16" s="4" t="s">
        <v>212</v>
      </c>
      <c r="H16" s="5">
        <v>275</v>
      </c>
      <c r="I16" s="16" t="s">
        <v>67</v>
      </c>
      <c r="J16" s="8" t="s">
        <v>66</v>
      </c>
      <c r="K16" s="10" t="s">
        <v>298</v>
      </c>
      <c r="L16" s="13">
        <v>1321</v>
      </c>
      <c r="M16" s="154">
        <v>1323</v>
      </c>
    </row>
    <row r="17" spans="1:13" x14ac:dyDescent="0.2">
      <c r="A17" s="7" t="s">
        <v>318</v>
      </c>
      <c r="B17" s="122" t="s">
        <v>294</v>
      </c>
      <c r="C17" s="17" t="s">
        <v>208</v>
      </c>
      <c r="D17" s="5">
        <v>1870</v>
      </c>
      <c r="E17" s="4" t="s">
        <v>292</v>
      </c>
      <c r="F17" s="5">
        <v>221</v>
      </c>
      <c r="G17" s="4" t="s">
        <v>295</v>
      </c>
      <c r="H17" s="5">
        <v>275</v>
      </c>
      <c r="I17" s="16" t="s">
        <v>67</v>
      </c>
      <c r="J17" s="8" t="s">
        <v>66</v>
      </c>
      <c r="K17" s="10" t="s">
        <v>298</v>
      </c>
      <c r="L17" s="13">
        <v>1321</v>
      </c>
      <c r="M17" s="154">
        <v>1323</v>
      </c>
    </row>
    <row r="18" spans="1:13" x14ac:dyDescent="0.2">
      <c r="A18" s="7" t="s">
        <v>319</v>
      </c>
      <c r="B18" s="122" t="s">
        <v>343</v>
      </c>
      <c r="C18" s="17" t="s">
        <v>142</v>
      </c>
      <c r="D18" s="5">
        <v>1870</v>
      </c>
      <c r="E18" s="4">
        <v>362</v>
      </c>
      <c r="F18" s="5">
        <v>221</v>
      </c>
      <c r="G18" s="4">
        <v>405</v>
      </c>
      <c r="H18" s="5">
        <v>275</v>
      </c>
      <c r="I18" s="16" t="s">
        <v>67</v>
      </c>
      <c r="J18" s="8" t="s">
        <v>66</v>
      </c>
      <c r="K18" s="10" t="s">
        <v>298</v>
      </c>
      <c r="L18" s="13">
        <v>1321</v>
      </c>
      <c r="M18" s="154">
        <v>1323</v>
      </c>
    </row>
    <row r="19" spans="1:13" x14ac:dyDescent="0.2">
      <c r="A19" s="7" t="s">
        <v>320</v>
      </c>
      <c r="B19" s="122" t="s">
        <v>343</v>
      </c>
      <c r="C19" s="17" t="s">
        <v>142</v>
      </c>
      <c r="D19" s="5">
        <v>1870</v>
      </c>
      <c r="E19" s="4">
        <v>362</v>
      </c>
      <c r="F19" s="5">
        <v>221</v>
      </c>
      <c r="G19" s="4">
        <v>405</v>
      </c>
      <c r="H19" s="5">
        <v>275</v>
      </c>
      <c r="I19" s="16" t="s">
        <v>258</v>
      </c>
      <c r="J19" s="8" t="s">
        <v>66</v>
      </c>
      <c r="K19" s="10" t="s">
        <v>298</v>
      </c>
      <c r="L19" s="13">
        <v>1321</v>
      </c>
      <c r="M19" s="154">
        <v>1323</v>
      </c>
    </row>
    <row r="21" spans="1:13" x14ac:dyDescent="0.2">
      <c r="D21" t="s">
        <v>188</v>
      </c>
      <c r="E21" t="s">
        <v>189</v>
      </c>
    </row>
    <row r="25" spans="1:13" x14ac:dyDescent="0.2">
      <c r="A25" s="94" t="s">
        <v>308</v>
      </c>
    </row>
    <row r="26" spans="1:13" ht="13.5" thickBot="1" x14ac:dyDescent="0.25"/>
    <row r="27" spans="1:13" x14ac:dyDescent="0.2">
      <c r="A27" s="370"/>
      <c r="B27" s="372" t="s">
        <v>306</v>
      </c>
      <c r="C27" s="372" t="s">
        <v>307</v>
      </c>
      <c r="D27" s="390" t="s">
        <v>301</v>
      </c>
      <c r="E27" s="123"/>
      <c r="F27" s="123"/>
      <c r="G27" s="123"/>
      <c r="H27" s="124"/>
      <c r="I27" s="123"/>
      <c r="J27" s="123"/>
      <c r="K27" s="123"/>
      <c r="L27" s="124"/>
    </row>
    <row r="28" spans="1:13" x14ac:dyDescent="0.2">
      <c r="A28" s="371"/>
      <c r="B28" s="373"/>
      <c r="C28" s="373"/>
      <c r="D28" s="375"/>
      <c r="E28" s="125"/>
      <c r="F28" s="125"/>
      <c r="G28" s="125"/>
      <c r="H28" s="126"/>
      <c r="I28" s="125"/>
      <c r="J28" s="125"/>
      <c r="K28" s="125"/>
      <c r="L28" s="126"/>
    </row>
    <row r="29" spans="1:13" x14ac:dyDescent="0.2">
      <c r="A29" s="371"/>
      <c r="B29" s="373"/>
      <c r="C29" s="373"/>
      <c r="D29" s="375"/>
      <c r="E29" s="152">
        <v>7170</v>
      </c>
      <c r="F29" s="152">
        <v>7185</v>
      </c>
      <c r="G29" s="152">
        <v>7200</v>
      </c>
      <c r="H29" s="153">
        <v>7210</v>
      </c>
      <c r="I29" s="152">
        <v>7170</v>
      </c>
      <c r="J29" s="152">
        <v>7185</v>
      </c>
      <c r="K29" s="152">
        <v>7200</v>
      </c>
      <c r="L29" s="153">
        <v>7210</v>
      </c>
    </row>
    <row r="30" spans="1:13" x14ac:dyDescent="0.2">
      <c r="A30" s="371"/>
      <c r="B30" s="373"/>
      <c r="C30" s="373"/>
      <c r="D30" s="375"/>
      <c r="E30" s="127"/>
      <c r="F30" s="127"/>
      <c r="G30" s="127"/>
      <c r="H30" s="128"/>
      <c r="I30" s="127"/>
      <c r="J30" s="127"/>
      <c r="K30" s="127"/>
      <c r="L30" s="128"/>
    </row>
    <row r="31" spans="1:13" x14ac:dyDescent="0.2">
      <c r="A31" s="378" t="s">
        <v>299</v>
      </c>
      <c r="B31" s="386" t="s">
        <v>321</v>
      </c>
      <c r="C31" s="357" t="s">
        <v>305</v>
      </c>
      <c r="D31" s="129" t="s">
        <v>302</v>
      </c>
      <c r="E31" s="130">
        <v>4100</v>
      </c>
      <c r="F31" s="131">
        <v>4100</v>
      </c>
      <c r="G31" s="132" t="s">
        <v>300</v>
      </c>
      <c r="H31" s="129" t="s">
        <v>300</v>
      </c>
      <c r="I31" s="133">
        <v>4100</v>
      </c>
      <c r="J31" s="134">
        <v>4100</v>
      </c>
      <c r="K31" s="134" t="s">
        <v>300</v>
      </c>
      <c r="L31" s="135" t="s">
        <v>300</v>
      </c>
    </row>
    <row r="32" spans="1:13" x14ac:dyDescent="0.2">
      <c r="A32" s="379"/>
      <c r="B32" s="387"/>
      <c r="C32" s="358"/>
      <c r="D32" s="136" t="s">
        <v>303</v>
      </c>
      <c r="E32" s="137">
        <v>7300</v>
      </c>
      <c r="F32" s="137">
        <v>7300</v>
      </c>
      <c r="G32" s="137" t="s">
        <v>300</v>
      </c>
      <c r="H32" s="138" t="s">
        <v>300</v>
      </c>
      <c r="I32" s="139">
        <v>7300</v>
      </c>
      <c r="J32" s="139">
        <v>7300</v>
      </c>
      <c r="K32" s="139" t="s">
        <v>300</v>
      </c>
      <c r="L32" s="140" t="s">
        <v>300</v>
      </c>
    </row>
    <row r="33" spans="1:12" ht="13.5" thickBot="1" x14ac:dyDescent="0.25">
      <c r="A33" s="379"/>
      <c r="B33" s="388"/>
      <c r="C33" s="359"/>
      <c r="D33" s="141" t="s">
        <v>304</v>
      </c>
      <c r="E33" s="142">
        <v>10000</v>
      </c>
      <c r="F33" s="142">
        <v>10000</v>
      </c>
      <c r="G33" s="142" t="s">
        <v>300</v>
      </c>
      <c r="H33" s="141" t="s">
        <v>300</v>
      </c>
      <c r="I33" s="143">
        <v>10000</v>
      </c>
      <c r="J33" s="143">
        <v>10000</v>
      </c>
      <c r="K33" s="143" t="s">
        <v>300</v>
      </c>
      <c r="L33" s="144" t="s">
        <v>300</v>
      </c>
    </row>
    <row r="34" spans="1:12" x14ac:dyDescent="0.2">
      <c r="A34" s="379"/>
      <c r="B34" s="360" t="s">
        <v>322</v>
      </c>
      <c r="C34" s="357" t="s">
        <v>305</v>
      </c>
      <c r="D34" s="129" t="s">
        <v>302</v>
      </c>
      <c r="E34" s="131">
        <v>4900</v>
      </c>
      <c r="F34" s="131">
        <v>4900</v>
      </c>
      <c r="G34" s="131">
        <v>4900</v>
      </c>
      <c r="H34" s="145">
        <v>4900</v>
      </c>
      <c r="I34" s="134">
        <v>4900</v>
      </c>
      <c r="J34" s="134">
        <v>4900</v>
      </c>
      <c r="K34" s="134">
        <v>4900</v>
      </c>
      <c r="L34" s="135">
        <v>4900</v>
      </c>
    </row>
    <row r="35" spans="1:12" x14ac:dyDescent="0.2">
      <c r="A35" s="379"/>
      <c r="B35" s="361"/>
      <c r="C35" s="358"/>
      <c r="D35" s="136" t="s">
        <v>303</v>
      </c>
      <c r="E35" s="146">
        <v>7300</v>
      </c>
      <c r="F35" s="146">
        <v>7300</v>
      </c>
      <c r="G35" s="137">
        <v>7800</v>
      </c>
      <c r="H35" s="138">
        <v>7800</v>
      </c>
      <c r="I35" s="139">
        <v>7300</v>
      </c>
      <c r="J35" s="139">
        <v>7300</v>
      </c>
      <c r="K35" s="139">
        <v>7800</v>
      </c>
      <c r="L35" s="140">
        <v>7800</v>
      </c>
    </row>
    <row r="36" spans="1:12" ht="13.5" thickBot="1" x14ac:dyDescent="0.25">
      <c r="A36" s="385"/>
      <c r="B36" s="389"/>
      <c r="C36" s="362"/>
      <c r="D36" s="147" t="s">
        <v>304</v>
      </c>
      <c r="E36" s="148">
        <v>10500</v>
      </c>
      <c r="F36" s="148">
        <v>10500</v>
      </c>
      <c r="G36" s="148">
        <v>10500</v>
      </c>
      <c r="H36" s="149">
        <v>10500</v>
      </c>
      <c r="I36" s="150">
        <v>11000</v>
      </c>
      <c r="J36" s="150">
        <v>11000</v>
      </c>
      <c r="K36" s="150">
        <v>11500</v>
      </c>
      <c r="L36" s="151">
        <v>11500</v>
      </c>
    </row>
  </sheetData>
  <sheetProtection password="D243" sheet="1" objects="1" scenarios="1"/>
  <mergeCells count="12">
    <mergeCell ref="K1:M2"/>
    <mergeCell ref="L3:M3"/>
    <mergeCell ref="A27:A30"/>
    <mergeCell ref="B27:B30"/>
    <mergeCell ref="C27:C30"/>
    <mergeCell ref="D27:D30"/>
    <mergeCell ref="A1:J2"/>
    <mergeCell ref="A31:A36"/>
    <mergeCell ref="B31:B33"/>
    <mergeCell ref="C31:C33"/>
    <mergeCell ref="B34:B36"/>
    <mergeCell ref="C34:C36"/>
  </mergeCells>
  <printOptions gridLines="1"/>
  <pageMargins left="0.33" right="0.27" top="0.98425196850393704" bottom="0.98425196850393704" header="0.51181102362204722" footer="0.51181102362204722"/>
  <pageSetup paperSize="9" orientation="landscape" r:id="rId1"/>
  <headerFooter alignWithMargins="0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A1:M34"/>
  <sheetViews>
    <sheetView topLeftCell="A13" zoomScale="75" workbookViewId="0">
      <selection activeCell="K7" sqref="K7"/>
    </sheetView>
  </sheetViews>
  <sheetFormatPr defaultRowHeight="12.75" x14ac:dyDescent="0.2"/>
  <cols>
    <col min="1" max="1" width="11.5703125" customWidth="1"/>
    <col min="2" max="2" width="8.7109375" style="117" customWidth="1"/>
    <col min="3" max="3" width="9.85546875" customWidth="1"/>
    <col min="5" max="5" width="8.85546875" customWidth="1"/>
    <col min="7" max="7" width="10.42578125" customWidth="1"/>
    <col min="11" max="11" width="10.42578125" customWidth="1"/>
    <col min="12" max="13" width="18.85546875" customWidth="1"/>
  </cols>
  <sheetData>
    <row r="1" spans="1:13" ht="12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326" t="s">
        <v>1</v>
      </c>
      <c r="L1" s="327"/>
      <c r="M1" s="327"/>
    </row>
    <row r="2" spans="1:13" ht="13.5" customHeight="1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</row>
    <row r="3" spans="1:13" ht="16.5" thickBot="1" x14ac:dyDescent="0.3">
      <c r="A3" s="26" t="s">
        <v>2</v>
      </c>
      <c r="B3" s="28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341</v>
      </c>
      <c r="L3" s="352" t="s">
        <v>289</v>
      </c>
      <c r="M3" s="353"/>
    </row>
    <row r="4" spans="1:13" ht="13.5" thickBot="1" x14ac:dyDescent="0.25">
      <c r="A4" s="47"/>
      <c r="B4" s="100" t="s">
        <v>167</v>
      </c>
      <c r="C4" s="49" t="s">
        <v>291</v>
      </c>
      <c r="D4" s="29" t="s">
        <v>12</v>
      </c>
      <c r="E4" s="50" t="s">
        <v>291</v>
      </c>
      <c r="F4" s="29" t="s">
        <v>12</v>
      </c>
      <c r="G4" s="50" t="s">
        <v>290</v>
      </c>
      <c r="H4" s="29" t="s">
        <v>12</v>
      </c>
      <c r="I4" s="49" t="s">
        <v>11</v>
      </c>
      <c r="J4" s="29" t="s">
        <v>12</v>
      </c>
      <c r="K4" s="47" t="s">
        <v>342</v>
      </c>
      <c r="L4" s="29" t="s">
        <v>296</v>
      </c>
      <c r="M4" s="47" t="s">
        <v>297</v>
      </c>
    </row>
    <row r="5" spans="1:13" x14ac:dyDescent="0.2">
      <c r="A5" s="7" t="s">
        <v>459</v>
      </c>
      <c r="B5" s="122" t="s">
        <v>294</v>
      </c>
      <c r="C5" s="17" t="s">
        <v>208</v>
      </c>
      <c r="D5" s="5">
        <v>1870</v>
      </c>
      <c r="E5" s="4" t="s">
        <v>292</v>
      </c>
      <c r="F5" s="5">
        <v>221</v>
      </c>
      <c r="G5" s="4" t="s">
        <v>212</v>
      </c>
      <c r="H5" s="5">
        <v>275</v>
      </c>
      <c r="I5" s="16" t="s">
        <v>67</v>
      </c>
      <c r="J5" s="8" t="s">
        <v>66</v>
      </c>
      <c r="K5" s="10" t="s">
        <v>298</v>
      </c>
      <c r="L5" s="13">
        <v>1321</v>
      </c>
      <c r="M5" s="154">
        <v>1323</v>
      </c>
    </row>
    <row r="6" spans="1:13" x14ac:dyDescent="0.2">
      <c r="A6" s="7" t="s">
        <v>460</v>
      </c>
      <c r="B6" s="122" t="s">
        <v>293</v>
      </c>
      <c r="C6" s="17" t="s">
        <v>142</v>
      </c>
      <c r="D6" s="5">
        <v>1870</v>
      </c>
      <c r="E6" s="4">
        <v>362</v>
      </c>
      <c r="F6" s="5">
        <v>221</v>
      </c>
      <c r="G6" s="4">
        <v>405</v>
      </c>
      <c r="H6" s="5">
        <v>275</v>
      </c>
      <c r="I6" s="16" t="s">
        <v>67</v>
      </c>
      <c r="J6" s="8" t="s">
        <v>66</v>
      </c>
      <c r="K6" s="10" t="s">
        <v>298</v>
      </c>
      <c r="L6" s="13">
        <v>1321</v>
      </c>
      <c r="M6" s="154">
        <v>1323</v>
      </c>
    </row>
    <row r="7" spans="1:13" x14ac:dyDescent="0.2">
      <c r="A7" s="7" t="s">
        <v>312</v>
      </c>
      <c r="B7" s="122" t="s">
        <v>293</v>
      </c>
      <c r="C7" s="17" t="s">
        <v>142</v>
      </c>
      <c r="D7" s="5">
        <v>1870</v>
      </c>
      <c r="E7" s="4">
        <v>362</v>
      </c>
      <c r="F7" s="5">
        <v>221</v>
      </c>
      <c r="G7" s="4">
        <v>405</v>
      </c>
      <c r="H7" s="5">
        <v>275</v>
      </c>
      <c r="I7" s="16" t="s">
        <v>258</v>
      </c>
      <c r="J7" s="8" t="s">
        <v>66</v>
      </c>
      <c r="K7" s="10" t="s">
        <v>298</v>
      </c>
      <c r="L7" s="13">
        <v>1321</v>
      </c>
      <c r="M7" s="154">
        <v>1323</v>
      </c>
    </row>
    <row r="8" spans="1:13" x14ac:dyDescent="0.2">
      <c r="A8" s="7" t="s">
        <v>461</v>
      </c>
      <c r="B8" s="122"/>
      <c r="C8" s="17"/>
      <c r="D8" s="5"/>
      <c r="E8" s="4"/>
      <c r="F8" s="5"/>
      <c r="G8" s="4"/>
      <c r="H8" s="5"/>
      <c r="I8" s="16"/>
      <c r="J8" s="8"/>
      <c r="K8" s="10"/>
      <c r="L8" s="13"/>
      <c r="M8" s="154"/>
    </row>
    <row r="9" spans="1:13" x14ac:dyDescent="0.2">
      <c r="A9" s="7"/>
      <c r="B9" s="122"/>
      <c r="C9" s="17"/>
      <c r="D9" s="5"/>
      <c r="E9" s="4"/>
      <c r="F9" s="5"/>
      <c r="G9" s="4"/>
      <c r="H9" s="5"/>
      <c r="I9" s="16"/>
      <c r="J9" s="8"/>
      <c r="K9" s="6"/>
      <c r="L9" s="13"/>
      <c r="M9" s="154"/>
    </row>
    <row r="10" spans="1:13" x14ac:dyDescent="0.2">
      <c r="A10" s="7" t="s">
        <v>462</v>
      </c>
      <c r="B10" s="122" t="s">
        <v>294</v>
      </c>
      <c r="C10" s="17" t="s">
        <v>208</v>
      </c>
      <c r="D10" s="5">
        <v>1870</v>
      </c>
      <c r="E10" s="4" t="s">
        <v>292</v>
      </c>
      <c r="F10" s="5">
        <v>221</v>
      </c>
      <c r="G10" s="4" t="s">
        <v>212</v>
      </c>
      <c r="H10" s="5">
        <v>275</v>
      </c>
      <c r="I10" s="16" t="s">
        <v>67</v>
      </c>
      <c r="J10" s="8" t="s">
        <v>66</v>
      </c>
      <c r="K10" s="10" t="s">
        <v>298</v>
      </c>
      <c r="L10" s="13">
        <v>1321</v>
      </c>
      <c r="M10" s="154">
        <v>1323</v>
      </c>
    </row>
    <row r="11" spans="1:13" x14ac:dyDescent="0.2">
      <c r="A11" s="7" t="s">
        <v>463</v>
      </c>
      <c r="B11" s="122" t="s">
        <v>293</v>
      </c>
      <c r="C11" s="17" t="s">
        <v>142</v>
      </c>
      <c r="D11" s="5">
        <v>1870</v>
      </c>
      <c r="E11" s="4">
        <v>362</v>
      </c>
      <c r="F11" s="5">
        <v>221</v>
      </c>
      <c r="G11" s="4">
        <v>405</v>
      </c>
      <c r="H11" s="5">
        <v>275</v>
      </c>
      <c r="I11" s="16" t="s">
        <v>67</v>
      </c>
      <c r="J11" s="8" t="s">
        <v>66</v>
      </c>
      <c r="K11" s="10" t="s">
        <v>298</v>
      </c>
      <c r="L11" s="13">
        <v>1321</v>
      </c>
      <c r="M11" s="154">
        <v>1323</v>
      </c>
    </row>
    <row r="12" spans="1:13" x14ac:dyDescent="0.2">
      <c r="A12" s="7" t="s">
        <v>316</v>
      </c>
      <c r="B12" s="122" t="s">
        <v>293</v>
      </c>
      <c r="C12" s="17" t="s">
        <v>142</v>
      </c>
      <c r="D12" s="5">
        <v>1870</v>
      </c>
      <c r="E12" s="4">
        <v>362</v>
      </c>
      <c r="F12" s="5">
        <v>221</v>
      </c>
      <c r="G12" s="4">
        <v>405</v>
      </c>
      <c r="H12" s="5">
        <v>275</v>
      </c>
      <c r="I12" s="16" t="s">
        <v>258</v>
      </c>
      <c r="J12" s="8" t="s">
        <v>66</v>
      </c>
      <c r="K12" s="10" t="s">
        <v>298</v>
      </c>
      <c r="L12" s="13">
        <v>1321</v>
      </c>
      <c r="M12" s="154">
        <v>1323</v>
      </c>
    </row>
    <row r="13" spans="1:13" x14ac:dyDescent="0.2">
      <c r="A13" s="7" t="s">
        <v>464</v>
      </c>
      <c r="B13" s="122"/>
      <c r="C13" s="17"/>
      <c r="D13" s="5"/>
      <c r="E13" s="4"/>
      <c r="F13" s="5"/>
      <c r="G13" s="4"/>
      <c r="H13" s="5"/>
      <c r="I13" s="16"/>
      <c r="J13" s="8"/>
      <c r="K13" s="6"/>
      <c r="L13" s="13"/>
      <c r="M13" s="154"/>
    </row>
    <row r="14" spans="1:13" x14ac:dyDescent="0.2">
      <c r="A14" s="7"/>
      <c r="B14" s="122"/>
      <c r="C14" s="17"/>
      <c r="D14" s="5"/>
      <c r="E14" s="4"/>
      <c r="F14" s="5"/>
      <c r="G14" s="4"/>
      <c r="H14" s="5"/>
      <c r="I14" s="16"/>
      <c r="J14" s="8"/>
      <c r="K14" s="6"/>
      <c r="L14" s="13"/>
      <c r="M14" s="154"/>
    </row>
    <row r="15" spans="1:13" x14ac:dyDescent="0.2">
      <c r="A15" s="7" t="s">
        <v>465</v>
      </c>
      <c r="B15" s="122" t="s">
        <v>294</v>
      </c>
      <c r="C15" s="17" t="s">
        <v>208</v>
      </c>
      <c r="D15" s="5">
        <v>1870</v>
      </c>
      <c r="E15" s="4" t="s">
        <v>292</v>
      </c>
      <c r="F15" s="5">
        <v>221</v>
      </c>
      <c r="G15" s="4" t="s">
        <v>212</v>
      </c>
      <c r="H15" s="5">
        <v>275</v>
      </c>
      <c r="I15" s="16" t="s">
        <v>67</v>
      </c>
      <c r="J15" s="8" t="s">
        <v>66</v>
      </c>
      <c r="K15" s="10" t="s">
        <v>298</v>
      </c>
      <c r="L15" s="13">
        <v>1321</v>
      </c>
      <c r="M15" s="154">
        <v>1323</v>
      </c>
    </row>
    <row r="16" spans="1:13" x14ac:dyDescent="0.2">
      <c r="A16" s="7" t="s">
        <v>466</v>
      </c>
      <c r="B16" s="122" t="s">
        <v>343</v>
      </c>
      <c r="C16" s="17" t="s">
        <v>142</v>
      </c>
      <c r="D16" s="5">
        <v>1870</v>
      </c>
      <c r="E16" s="4">
        <v>362</v>
      </c>
      <c r="F16" s="5">
        <v>221</v>
      </c>
      <c r="G16" s="4">
        <v>405</v>
      </c>
      <c r="H16" s="5">
        <v>275</v>
      </c>
      <c r="I16" s="16" t="s">
        <v>67</v>
      </c>
      <c r="J16" s="8" t="s">
        <v>66</v>
      </c>
      <c r="K16" s="10" t="s">
        <v>298</v>
      </c>
      <c r="L16" s="13">
        <v>1321</v>
      </c>
      <c r="M16" s="154">
        <v>1323</v>
      </c>
    </row>
    <row r="17" spans="1:13" x14ac:dyDescent="0.2">
      <c r="A17" s="7" t="s">
        <v>320</v>
      </c>
      <c r="B17" s="122" t="s">
        <v>343</v>
      </c>
      <c r="C17" s="17" t="s">
        <v>142</v>
      </c>
      <c r="D17" s="5">
        <v>1870</v>
      </c>
      <c r="E17" s="4">
        <v>362</v>
      </c>
      <c r="F17" s="5">
        <v>221</v>
      </c>
      <c r="G17" s="4">
        <v>405</v>
      </c>
      <c r="H17" s="5">
        <v>275</v>
      </c>
      <c r="I17" s="16" t="s">
        <v>258</v>
      </c>
      <c r="J17" s="8" t="s">
        <v>66</v>
      </c>
      <c r="K17" s="10" t="s">
        <v>298</v>
      </c>
      <c r="L17" s="13">
        <v>1321</v>
      </c>
      <c r="M17" s="154">
        <v>1323</v>
      </c>
    </row>
    <row r="18" spans="1:13" x14ac:dyDescent="0.2">
      <c r="A18" s="7" t="s">
        <v>461</v>
      </c>
    </row>
    <row r="19" spans="1:13" x14ac:dyDescent="0.2">
      <c r="D19" t="s">
        <v>188</v>
      </c>
      <c r="E19" t="s">
        <v>189</v>
      </c>
    </row>
    <row r="23" spans="1:13" x14ac:dyDescent="0.2">
      <c r="A23" s="94" t="s">
        <v>308</v>
      </c>
    </row>
    <row r="24" spans="1:13" ht="13.5" thickBot="1" x14ac:dyDescent="0.25"/>
    <row r="25" spans="1:13" x14ac:dyDescent="0.2">
      <c r="A25" s="370"/>
      <c r="B25" s="372" t="s">
        <v>306</v>
      </c>
      <c r="C25" s="372" t="s">
        <v>307</v>
      </c>
      <c r="D25" s="390" t="s">
        <v>301</v>
      </c>
      <c r="E25" s="123"/>
      <c r="F25" s="123"/>
      <c r="G25" s="123"/>
      <c r="H25" s="124"/>
      <c r="I25" s="123"/>
      <c r="J25" s="123"/>
      <c r="K25" s="123"/>
      <c r="L25" s="124"/>
    </row>
    <row r="26" spans="1:13" x14ac:dyDescent="0.2">
      <c r="A26" s="371"/>
      <c r="B26" s="373"/>
      <c r="C26" s="373"/>
      <c r="D26" s="375"/>
      <c r="E26" s="125"/>
      <c r="F26" s="125"/>
      <c r="G26" s="125"/>
      <c r="H26" s="126"/>
      <c r="I26" s="125"/>
      <c r="J26" s="125"/>
      <c r="K26" s="125"/>
      <c r="L26" s="126"/>
    </row>
    <row r="27" spans="1:13" x14ac:dyDescent="0.2">
      <c r="A27" s="371"/>
      <c r="B27" s="373"/>
      <c r="C27" s="373"/>
      <c r="D27" s="375"/>
      <c r="E27" s="152">
        <v>7175</v>
      </c>
      <c r="F27" s="152"/>
      <c r="G27" s="152">
        <v>7190</v>
      </c>
      <c r="H27" s="153">
        <v>7210</v>
      </c>
      <c r="I27" s="152">
        <v>7175</v>
      </c>
      <c r="J27" s="152">
        <v>7190</v>
      </c>
      <c r="K27" s="152">
        <v>7210</v>
      </c>
      <c r="L27" s="153">
        <v>7225</v>
      </c>
    </row>
    <row r="28" spans="1:13" x14ac:dyDescent="0.2">
      <c r="A28" s="371"/>
      <c r="B28" s="373"/>
      <c r="C28" s="373"/>
      <c r="D28" s="375"/>
      <c r="E28" s="127"/>
      <c r="F28" s="127"/>
      <c r="G28" s="127"/>
      <c r="H28" s="128"/>
      <c r="I28" s="127"/>
      <c r="J28" s="127"/>
      <c r="K28" s="127"/>
      <c r="L28" s="128"/>
    </row>
    <row r="29" spans="1:13" x14ac:dyDescent="0.2">
      <c r="A29" s="378" t="s">
        <v>299</v>
      </c>
      <c r="B29" s="386" t="s">
        <v>321</v>
      </c>
      <c r="C29" s="357" t="s">
        <v>305</v>
      </c>
      <c r="D29" s="129" t="s">
        <v>302</v>
      </c>
      <c r="E29" s="130">
        <v>4100</v>
      </c>
      <c r="F29" s="131"/>
      <c r="G29" s="132" t="s">
        <v>300</v>
      </c>
      <c r="H29" s="129" t="s">
        <v>300</v>
      </c>
      <c r="I29" s="133">
        <v>4100</v>
      </c>
      <c r="J29" s="134">
        <v>4100</v>
      </c>
      <c r="K29" s="134" t="s">
        <v>300</v>
      </c>
      <c r="L29" s="135" t="s">
        <v>300</v>
      </c>
    </row>
    <row r="30" spans="1:13" x14ac:dyDescent="0.2">
      <c r="A30" s="379"/>
      <c r="B30" s="387"/>
      <c r="C30" s="358"/>
      <c r="D30" s="136" t="s">
        <v>303</v>
      </c>
      <c r="E30" s="137">
        <v>7300</v>
      </c>
      <c r="F30" s="137"/>
      <c r="G30" s="137" t="s">
        <v>300</v>
      </c>
      <c r="H30" s="138" t="s">
        <v>300</v>
      </c>
      <c r="I30" s="139">
        <v>7300</v>
      </c>
      <c r="J30" s="139">
        <v>7300</v>
      </c>
      <c r="K30" s="139" t="s">
        <v>300</v>
      </c>
      <c r="L30" s="140" t="s">
        <v>300</v>
      </c>
    </row>
    <row r="31" spans="1:13" ht="13.5" thickBot="1" x14ac:dyDescent="0.25">
      <c r="A31" s="379"/>
      <c r="B31" s="388"/>
      <c r="C31" s="359"/>
      <c r="D31" s="141" t="s">
        <v>304</v>
      </c>
      <c r="E31" s="142">
        <v>10000</v>
      </c>
      <c r="F31" s="142"/>
      <c r="G31" s="142" t="s">
        <v>300</v>
      </c>
      <c r="H31" s="141" t="s">
        <v>300</v>
      </c>
      <c r="I31" s="143">
        <v>10000</v>
      </c>
      <c r="J31" s="143">
        <v>10000</v>
      </c>
      <c r="K31" s="143" t="s">
        <v>300</v>
      </c>
      <c r="L31" s="144" t="s">
        <v>300</v>
      </c>
    </row>
    <row r="32" spans="1:13" x14ac:dyDescent="0.2">
      <c r="A32" s="379"/>
      <c r="B32" s="360" t="s">
        <v>322</v>
      </c>
      <c r="C32" s="357" t="s">
        <v>305</v>
      </c>
      <c r="D32" s="129" t="s">
        <v>302</v>
      </c>
      <c r="E32" s="131">
        <v>4900</v>
      </c>
      <c r="F32" s="131"/>
      <c r="G32" s="131">
        <v>4900</v>
      </c>
      <c r="H32" s="145">
        <v>4900</v>
      </c>
      <c r="I32" s="134">
        <v>4900</v>
      </c>
      <c r="J32" s="134">
        <v>4900</v>
      </c>
      <c r="K32" s="134">
        <v>4900</v>
      </c>
      <c r="L32" s="135">
        <v>4900</v>
      </c>
    </row>
    <row r="33" spans="1:12" x14ac:dyDescent="0.2">
      <c r="A33" s="379"/>
      <c r="B33" s="361"/>
      <c r="C33" s="358"/>
      <c r="D33" s="136" t="s">
        <v>303</v>
      </c>
      <c r="E33" s="146">
        <v>7300</v>
      </c>
      <c r="F33" s="146"/>
      <c r="G33" s="137">
        <v>7800</v>
      </c>
      <c r="H33" s="138">
        <v>7800</v>
      </c>
      <c r="I33" s="139">
        <v>7300</v>
      </c>
      <c r="J33" s="139">
        <v>7300</v>
      </c>
      <c r="K33" s="139">
        <v>7800</v>
      </c>
      <c r="L33" s="140">
        <v>7800</v>
      </c>
    </row>
    <row r="34" spans="1:12" ht="13.5" thickBot="1" x14ac:dyDescent="0.25">
      <c r="A34" s="385"/>
      <c r="B34" s="389"/>
      <c r="C34" s="362"/>
      <c r="D34" s="147" t="s">
        <v>304</v>
      </c>
      <c r="E34" s="148">
        <v>10500</v>
      </c>
      <c r="F34" s="148"/>
      <c r="G34" s="148">
        <v>10500</v>
      </c>
      <c r="H34" s="149">
        <v>10500</v>
      </c>
      <c r="I34" s="150">
        <v>11000</v>
      </c>
      <c r="J34" s="150">
        <v>11000</v>
      </c>
      <c r="K34" s="150">
        <v>11500</v>
      </c>
      <c r="L34" s="151">
        <v>11500</v>
      </c>
    </row>
  </sheetData>
  <mergeCells count="12">
    <mergeCell ref="A29:A34"/>
    <mergeCell ref="B29:B31"/>
    <mergeCell ref="C29:C31"/>
    <mergeCell ref="B32:B34"/>
    <mergeCell ref="C32:C34"/>
    <mergeCell ref="A1:J2"/>
    <mergeCell ref="K1:M2"/>
    <mergeCell ref="L3:M3"/>
    <mergeCell ref="A25:A28"/>
    <mergeCell ref="B25:B28"/>
    <mergeCell ref="C25:C28"/>
    <mergeCell ref="D25:D28"/>
  </mergeCells>
  <printOptions gridLines="1"/>
  <pageMargins left="0.33" right="0.27" top="0.98425196850393704" bottom="0.98425196850393704" header="0.51181102362204722" footer="0.51181102362204722"/>
  <pageSetup paperSize="9" orientation="landscape" r:id="rId1"/>
  <headerFooter alignWithMargins="0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/>
  <dimension ref="A1:M23"/>
  <sheetViews>
    <sheetView zoomScale="75" workbookViewId="0">
      <selection activeCell="O17" sqref="O17"/>
    </sheetView>
  </sheetViews>
  <sheetFormatPr defaultRowHeight="12.75" x14ac:dyDescent="0.2"/>
  <cols>
    <col min="1" max="1" width="14.140625" customWidth="1"/>
    <col min="2" max="2" width="5.85546875" bestFit="1" customWidth="1"/>
    <col min="3" max="3" width="6.42578125" customWidth="1"/>
    <col min="5" max="5" width="7" customWidth="1"/>
    <col min="7" max="7" width="8" customWidth="1"/>
    <col min="11" max="11" width="8.7109375" customWidth="1"/>
    <col min="12" max="13" width="18.85546875" customWidth="1"/>
  </cols>
  <sheetData>
    <row r="1" spans="1:13" ht="12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326" t="s">
        <v>1</v>
      </c>
      <c r="L1" s="327"/>
      <c r="M1" s="327"/>
    </row>
    <row r="2" spans="1:13" ht="13.5" customHeight="1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</row>
    <row r="3" spans="1:13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/>
      <c r="L3" s="352" t="s">
        <v>134</v>
      </c>
      <c r="M3" s="353"/>
    </row>
    <row r="4" spans="1:13" ht="13.5" thickBot="1" x14ac:dyDescent="0.25">
      <c r="A4" s="47"/>
      <c r="B4" s="48" t="s">
        <v>167</v>
      </c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49" t="s">
        <v>11</v>
      </c>
      <c r="J4" s="29" t="s">
        <v>12</v>
      </c>
      <c r="K4" s="31"/>
      <c r="L4" s="192" t="s">
        <v>287</v>
      </c>
      <c r="M4" s="193" t="s">
        <v>288</v>
      </c>
    </row>
    <row r="5" spans="1:13" x14ac:dyDescent="0.2">
      <c r="A5" s="7" t="s">
        <v>175</v>
      </c>
      <c r="B5" s="22" t="s">
        <v>190</v>
      </c>
      <c r="C5" s="17" t="s">
        <v>142</v>
      </c>
      <c r="D5" s="5">
        <v>1890</v>
      </c>
      <c r="E5" s="4">
        <v>362</v>
      </c>
      <c r="F5" s="5">
        <v>281</v>
      </c>
      <c r="G5" s="4">
        <v>405</v>
      </c>
      <c r="H5" s="5">
        <v>335</v>
      </c>
      <c r="I5" s="16" t="s">
        <v>67</v>
      </c>
      <c r="J5" s="8" t="s">
        <v>179</v>
      </c>
      <c r="K5" s="10"/>
      <c r="L5" s="13">
        <v>1343</v>
      </c>
      <c r="M5" s="119">
        <v>1324</v>
      </c>
    </row>
    <row r="6" spans="1:13" x14ac:dyDescent="0.2">
      <c r="A6" s="7" t="s">
        <v>176</v>
      </c>
      <c r="B6" s="22" t="s">
        <v>190</v>
      </c>
      <c r="C6" s="17" t="s">
        <v>142</v>
      </c>
      <c r="D6" s="5">
        <v>1890</v>
      </c>
      <c r="E6" s="4">
        <v>362</v>
      </c>
      <c r="F6" s="5">
        <v>281</v>
      </c>
      <c r="G6" s="4">
        <v>405</v>
      </c>
      <c r="H6" s="5">
        <v>335</v>
      </c>
      <c r="I6" s="16" t="s">
        <v>67</v>
      </c>
      <c r="J6" s="8" t="s">
        <v>179</v>
      </c>
      <c r="K6" s="10"/>
      <c r="L6" s="13">
        <v>1343</v>
      </c>
      <c r="M6" s="119">
        <v>1324</v>
      </c>
    </row>
    <row r="7" spans="1:13" x14ac:dyDescent="0.2">
      <c r="A7" s="7" t="s">
        <v>177</v>
      </c>
      <c r="B7" s="22" t="s">
        <v>190</v>
      </c>
      <c r="C7" s="17" t="s">
        <v>142</v>
      </c>
      <c r="D7" s="5">
        <v>1890</v>
      </c>
      <c r="E7" s="4">
        <v>362</v>
      </c>
      <c r="F7" s="5">
        <v>281</v>
      </c>
      <c r="G7" s="4">
        <v>405</v>
      </c>
      <c r="H7" s="5">
        <v>335</v>
      </c>
      <c r="I7" s="16" t="s">
        <v>67</v>
      </c>
      <c r="J7" s="8" t="s">
        <v>179</v>
      </c>
      <c r="K7" s="6"/>
      <c r="L7" s="13">
        <v>1343</v>
      </c>
      <c r="M7" s="119">
        <v>1324</v>
      </c>
    </row>
    <row r="8" spans="1:13" x14ac:dyDescent="0.2">
      <c r="A8" s="7" t="s">
        <v>178</v>
      </c>
      <c r="B8" s="22" t="s">
        <v>190</v>
      </c>
      <c r="C8" s="17" t="s">
        <v>256</v>
      </c>
      <c r="D8" s="5">
        <v>1890</v>
      </c>
      <c r="E8" s="4">
        <v>362</v>
      </c>
      <c r="F8" s="5">
        <v>281</v>
      </c>
      <c r="G8" s="4">
        <v>405</v>
      </c>
      <c r="H8" s="5">
        <v>335</v>
      </c>
      <c r="I8" s="16" t="s">
        <v>258</v>
      </c>
      <c r="J8" s="8" t="s">
        <v>260</v>
      </c>
      <c r="K8" s="6"/>
      <c r="L8" s="13">
        <v>1324</v>
      </c>
      <c r="M8" s="119">
        <v>1324</v>
      </c>
    </row>
    <row r="9" spans="1:13" x14ac:dyDescent="0.2">
      <c r="A9" s="7" t="s">
        <v>255</v>
      </c>
      <c r="B9" s="22" t="s">
        <v>190</v>
      </c>
      <c r="C9" s="17" t="s">
        <v>257</v>
      </c>
      <c r="D9" s="5">
        <v>1890</v>
      </c>
      <c r="E9" s="4">
        <v>362</v>
      </c>
      <c r="F9" s="5">
        <v>281</v>
      </c>
      <c r="G9" s="4">
        <v>405</v>
      </c>
      <c r="H9" s="5">
        <v>335</v>
      </c>
      <c r="I9" s="16" t="s">
        <v>259</v>
      </c>
      <c r="J9" s="8" t="s">
        <v>261</v>
      </c>
      <c r="K9" s="6"/>
      <c r="L9" s="13"/>
    </row>
    <row r="10" spans="1:13" x14ac:dyDescent="0.2">
      <c r="A10" s="7"/>
      <c r="B10" s="22"/>
      <c r="C10" s="17"/>
      <c r="D10" s="5"/>
      <c r="E10" s="4"/>
      <c r="F10" s="5"/>
      <c r="G10" s="4"/>
      <c r="H10" s="5"/>
      <c r="I10" s="16"/>
      <c r="J10" s="8"/>
      <c r="K10" s="6"/>
      <c r="L10" s="6"/>
    </row>
    <row r="11" spans="1:13" x14ac:dyDescent="0.2">
      <c r="A11" s="7" t="s">
        <v>180</v>
      </c>
      <c r="B11" s="22" t="s">
        <v>190</v>
      </c>
      <c r="C11" s="17" t="s">
        <v>142</v>
      </c>
      <c r="D11" s="5">
        <v>1890</v>
      </c>
      <c r="E11" s="4">
        <v>362</v>
      </c>
      <c r="F11" s="5">
        <v>281</v>
      </c>
      <c r="G11" s="4">
        <v>405</v>
      </c>
      <c r="H11" s="5">
        <v>335</v>
      </c>
      <c r="I11" s="16" t="s">
        <v>67</v>
      </c>
      <c r="J11" s="8" t="s">
        <v>179</v>
      </c>
      <c r="K11" s="6"/>
      <c r="L11" s="13">
        <v>1343</v>
      </c>
      <c r="M11" s="119">
        <v>1324</v>
      </c>
    </row>
    <row r="12" spans="1:13" x14ac:dyDescent="0.2">
      <c r="A12" s="7" t="s">
        <v>181</v>
      </c>
      <c r="B12" s="22" t="s">
        <v>190</v>
      </c>
      <c r="C12" s="17" t="s">
        <v>142</v>
      </c>
      <c r="D12" s="5">
        <v>1890</v>
      </c>
      <c r="E12" s="4">
        <v>362</v>
      </c>
      <c r="F12" s="5">
        <v>281</v>
      </c>
      <c r="G12" s="4">
        <v>405</v>
      </c>
      <c r="H12" s="5">
        <v>335</v>
      </c>
      <c r="I12" s="16" t="s">
        <v>67</v>
      </c>
      <c r="J12" s="8" t="s">
        <v>179</v>
      </c>
      <c r="K12" s="6"/>
      <c r="L12" s="13">
        <v>1343</v>
      </c>
      <c r="M12" s="119">
        <v>1324</v>
      </c>
    </row>
    <row r="13" spans="1:13" x14ac:dyDescent="0.2">
      <c r="A13" s="7" t="s">
        <v>182</v>
      </c>
      <c r="B13" s="22" t="s">
        <v>190</v>
      </c>
      <c r="C13" s="17" t="s">
        <v>142</v>
      </c>
      <c r="D13" s="5">
        <v>1890</v>
      </c>
      <c r="E13" s="4">
        <v>362</v>
      </c>
      <c r="F13" s="5">
        <v>281</v>
      </c>
      <c r="G13" s="4">
        <v>405</v>
      </c>
      <c r="H13" s="5">
        <v>335</v>
      </c>
      <c r="I13" s="16" t="s">
        <v>67</v>
      </c>
      <c r="J13" s="8" t="s">
        <v>179</v>
      </c>
      <c r="K13" s="6"/>
      <c r="L13" s="13">
        <v>1343</v>
      </c>
      <c r="M13" s="119">
        <v>1324</v>
      </c>
    </row>
    <row r="14" spans="1:13" x14ac:dyDescent="0.2">
      <c r="A14" s="7" t="s">
        <v>183</v>
      </c>
      <c r="B14" s="22" t="s">
        <v>190</v>
      </c>
      <c r="C14" s="17" t="s">
        <v>256</v>
      </c>
      <c r="D14" s="5">
        <v>1890</v>
      </c>
      <c r="E14" s="4">
        <v>362</v>
      </c>
      <c r="F14" s="5">
        <v>281</v>
      </c>
      <c r="G14" s="4">
        <v>405</v>
      </c>
      <c r="H14" s="5">
        <v>335</v>
      </c>
      <c r="I14" s="16" t="s">
        <v>258</v>
      </c>
      <c r="J14" s="8" t="s">
        <v>260</v>
      </c>
      <c r="K14" s="6"/>
      <c r="L14" s="13">
        <v>1324</v>
      </c>
      <c r="M14" s="119">
        <v>1324</v>
      </c>
    </row>
    <row r="15" spans="1:13" x14ac:dyDescent="0.2">
      <c r="A15" s="7" t="s">
        <v>263</v>
      </c>
      <c r="B15" s="22" t="s">
        <v>190</v>
      </c>
      <c r="C15" s="17" t="s">
        <v>257</v>
      </c>
      <c r="D15" s="5">
        <v>1890</v>
      </c>
      <c r="E15" s="4">
        <v>362</v>
      </c>
      <c r="F15" s="5">
        <v>281</v>
      </c>
      <c r="G15" s="4">
        <v>405</v>
      </c>
      <c r="H15" s="5">
        <v>335</v>
      </c>
      <c r="I15" s="16" t="s">
        <v>259</v>
      </c>
      <c r="J15" s="8" t="s">
        <v>261</v>
      </c>
      <c r="K15" s="6"/>
      <c r="L15" s="13"/>
    </row>
    <row r="16" spans="1:13" x14ac:dyDescent="0.2">
      <c r="A16" s="7"/>
      <c r="B16" s="22"/>
      <c r="C16" s="17"/>
      <c r="D16" s="5"/>
      <c r="E16" s="4"/>
      <c r="F16" s="5"/>
      <c r="G16" s="4"/>
      <c r="H16" s="5"/>
      <c r="I16" s="16"/>
      <c r="J16" s="8"/>
      <c r="K16" s="6"/>
      <c r="L16" s="6"/>
    </row>
    <row r="17" spans="1:13" x14ac:dyDescent="0.2">
      <c r="A17" s="7" t="s">
        <v>184</v>
      </c>
      <c r="B17" s="22" t="s">
        <v>190</v>
      </c>
      <c r="C17" s="17" t="s">
        <v>142</v>
      </c>
      <c r="D17" s="5">
        <v>1890</v>
      </c>
      <c r="E17" s="4">
        <v>362</v>
      </c>
      <c r="F17" s="5">
        <v>281</v>
      </c>
      <c r="G17" s="4">
        <v>405</v>
      </c>
      <c r="H17" s="5">
        <v>335</v>
      </c>
      <c r="I17" s="16" t="s">
        <v>67</v>
      </c>
      <c r="J17" s="8" t="s">
        <v>179</v>
      </c>
      <c r="K17" s="6"/>
      <c r="L17" s="13">
        <v>1343</v>
      </c>
      <c r="M17" s="119">
        <v>1324</v>
      </c>
    </row>
    <row r="18" spans="1:13" x14ac:dyDescent="0.2">
      <c r="A18" s="7" t="s">
        <v>185</v>
      </c>
      <c r="B18" s="22" t="s">
        <v>190</v>
      </c>
      <c r="C18" s="17" t="s">
        <v>142</v>
      </c>
      <c r="D18" s="5">
        <v>1890</v>
      </c>
      <c r="E18" s="4">
        <v>362</v>
      </c>
      <c r="F18" s="5">
        <v>281</v>
      </c>
      <c r="G18" s="4">
        <v>405</v>
      </c>
      <c r="H18" s="5">
        <v>335</v>
      </c>
      <c r="I18" s="16" t="s">
        <v>67</v>
      </c>
      <c r="J18" s="8" t="s">
        <v>179</v>
      </c>
      <c r="K18" s="6"/>
      <c r="L18" s="13">
        <v>1343</v>
      </c>
      <c r="M18" s="119">
        <v>1324</v>
      </c>
    </row>
    <row r="19" spans="1:13" x14ac:dyDescent="0.2">
      <c r="A19" s="7" t="s">
        <v>186</v>
      </c>
      <c r="B19" s="22" t="s">
        <v>190</v>
      </c>
      <c r="C19" s="17" t="s">
        <v>142</v>
      </c>
      <c r="D19" s="5">
        <v>1890</v>
      </c>
      <c r="E19" s="4">
        <v>362</v>
      </c>
      <c r="F19" s="5">
        <v>281</v>
      </c>
      <c r="G19" s="4">
        <v>405</v>
      </c>
      <c r="H19" s="5">
        <v>335</v>
      </c>
      <c r="I19" s="16" t="s">
        <v>67</v>
      </c>
      <c r="J19" s="8" t="s">
        <v>179</v>
      </c>
      <c r="K19" s="6"/>
      <c r="L19" s="13">
        <v>1343</v>
      </c>
      <c r="M19" s="119">
        <v>1324</v>
      </c>
    </row>
    <row r="20" spans="1:13" x14ac:dyDescent="0.2">
      <c r="A20" s="7" t="s">
        <v>187</v>
      </c>
      <c r="B20" s="22" t="s">
        <v>190</v>
      </c>
      <c r="C20" s="17" t="s">
        <v>256</v>
      </c>
      <c r="D20" s="5">
        <v>1890</v>
      </c>
      <c r="E20" s="4">
        <v>362</v>
      </c>
      <c r="F20" s="5">
        <v>281</v>
      </c>
      <c r="G20" s="4">
        <v>405</v>
      </c>
      <c r="H20" s="5">
        <v>335</v>
      </c>
      <c r="I20" s="16" t="s">
        <v>258</v>
      </c>
      <c r="J20" s="8" t="s">
        <v>260</v>
      </c>
      <c r="K20" s="6"/>
      <c r="L20" s="13">
        <v>1324</v>
      </c>
      <c r="M20" s="119">
        <v>1324</v>
      </c>
    </row>
    <row r="21" spans="1:13" x14ac:dyDescent="0.2">
      <c r="A21" s="7" t="s">
        <v>262</v>
      </c>
      <c r="B21" s="22" t="s">
        <v>190</v>
      </c>
      <c r="C21" s="17" t="s">
        <v>257</v>
      </c>
      <c r="D21" s="5">
        <v>1890</v>
      </c>
      <c r="E21" s="4">
        <v>362</v>
      </c>
      <c r="F21" s="5">
        <v>281</v>
      </c>
      <c r="G21" s="4">
        <v>405</v>
      </c>
      <c r="H21" s="5">
        <v>335</v>
      </c>
      <c r="I21" s="16" t="s">
        <v>259</v>
      </c>
      <c r="J21" s="8" t="s">
        <v>261</v>
      </c>
      <c r="M21" s="119">
        <v>1324</v>
      </c>
    </row>
    <row r="23" spans="1:13" x14ac:dyDescent="0.2">
      <c r="D23" t="s">
        <v>188</v>
      </c>
      <c r="E23" t="s">
        <v>189</v>
      </c>
    </row>
  </sheetData>
  <sheetProtection password="D243" sheet="1" objects="1" scenarios="1"/>
  <mergeCells count="3">
    <mergeCell ref="A1:J2"/>
    <mergeCell ref="L3:M3"/>
    <mergeCell ref="K1:M2"/>
  </mergeCells>
  <phoneticPr fontId="14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/>
  <dimension ref="A1:M35"/>
  <sheetViews>
    <sheetView zoomScale="75" workbookViewId="0">
      <selection activeCell="Q39" sqref="Q38:Q39"/>
    </sheetView>
  </sheetViews>
  <sheetFormatPr defaultRowHeight="12.75" x14ac:dyDescent="0.2"/>
  <cols>
    <col min="1" max="1" width="14.140625" customWidth="1"/>
    <col min="2" max="2" width="5.85546875" bestFit="1" customWidth="1"/>
    <col min="3" max="3" width="6.42578125" customWidth="1"/>
    <col min="5" max="5" width="7" customWidth="1"/>
    <col min="7" max="7" width="8" customWidth="1"/>
    <col min="11" max="11" width="8.7109375" customWidth="1"/>
    <col min="12" max="13" width="18.85546875" customWidth="1"/>
  </cols>
  <sheetData>
    <row r="1" spans="1:13" ht="12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326" t="s">
        <v>1</v>
      </c>
      <c r="L1" s="327"/>
      <c r="M1" s="327"/>
    </row>
    <row r="2" spans="1:13" ht="13.5" customHeight="1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</row>
    <row r="3" spans="1:13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341</v>
      </c>
      <c r="L3" s="352" t="s">
        <v>134</v>
      </c>
      <c r="M3" s="353"/>
    </row>
    <row r="4" spans="1:13" ht="13.5" thickBot="1" x14ac:dyDescent="0.25">
      <c r="A4" s="47"/>
      <c r="B4" s="48" t="s">
        <v>167</v>
      </c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49" t="s">
        <v>11</v>
      </c>
      <c r="J4" s="29" t="s">
        <v>12</v>
      </c>
      <c r="K4" s="47" t="s">
        <v>342</v>
      </c>
      <c r="L4" s="5"/>
    </row>
    <row r="5" spans="1:13" x14ac:dyDescent="0.2">
      <c r="A5" s="7" t="s">
        <v>323</v>
      </c>
      <c r="B5" s="22" t="s">
        <v>190</v>
      </c>
      <c r="C5" s="17" t="s">
        <v>142</v>
      </c>
      <c r="D5" s="5">
        <v>1900</v>
      </c>
      <c r="E5" s="4">
        <v>362</v>
      </c>
      <c r="F5" s="5">
        <v>281</v>
      </c>
      <c r="G5" s="4">
        <v>405</v>
      </c>
      <c r="H5" s="5">
        <v>335</v>
      </c>
      <c r="I5" s="16" t="s">
        <v>67</v>
      </c>
      <c r="J5" s="8" t="s">
        <v>179</v>
      </c>
      <c r="K5" s="10" t="s">
        <v>328</v>
      </c>
      <c r="L5" s="13"/>
      <c r="M5" s="119">
        <v>1324</v>
      </c>
    </row>
    <row r="6" spans="1:13" x14ac:dyDescent="0.2">
      <c r="A6" s="7" t="s">
        <v>324</v>
      </c>
      <c r="B6" s="22" t="s">
        <v>190</v>
      </c>
      <c r="C6" s="17" t="s">
        <v>142</v>
      </c>
      <c r="D6" s="5">
        <v>1900</v>
      </c>
      <c r="E6" s="4">
        <v>362</v>
      </c>
      <c r="F6" s="5">
        <v>281</v>
      </c>
      <c r="G6" s="4">
        <v>405</v>
      </c>
      <c r="H6" s="5">
        <v>335</v>
      </c>
      <c r="I6" s="16" t="s">
        <v>67</v>
      </c>
      <c r="J6" s="8" t="s">
        <v>179</v>
      </c>
      <c r="K6" s="10" t="s">
        <v>328</v>
      </c>
      <c r="L6" s="13"/>
      <c r="M6" s="119">
        <v>1324</v>
      </c>
    </row>
    <row r="7" spans="1:13" x14ac:dyDescent="0.2">
      <c r="A7" s="7" t="s">
        <v>325</v>
      </c>
      <c r="B7" s="22" t="s">
        <v>190</v>
      </c>
      <c r="C7" s="17" t="s">
        <v>142</v>
      </c>
      <c r="D7" s="5">
        <v>1900</v>
      </c>
      <c r="E7" s="4">
        <v>362</v>
      </c>
      <c r="F7" s="5">
        <v>281</v>
      </c>
      <c r="G7" s="4">
        <v>405</v>
      </c>
      <c r="H7" s="5">
        <v>335</v>
      </c>
      <c r="I7" s="16" t="s">
        <v>67</v>
      </c>
      <c r="J7" s="8" t="s">
        <v>179</v>
      </c>
      <c r="K7" s="10" t="s">
        <v>328</v>
      </c>
      <c r="L7" s="13"/>
      <c r="M7" s="119">
        <v>1324</v>
      </c>
    </row>
    <row r="8" spans="1:13" x14ac:dyDescent="0.2">
      <c r="A8" s="7" t="s">
        <v>326</v>
      </c>
      <c r="B8" s="22" t="s">
        <v>190</v>
      </c>
      <c r="C8" s="17" t="s">
        <v>256</v>
      </c>
      <c r="D8" s="5">
        <v>1900</v>
      </c>
      <c r="E8" s="4">
        <v>362</v>
      </c>
      <c r="F8" s="5">
        <v>281</v>
      </c>
      <c r="G8" s="4">
        <v>405</v>
      </c>
      <c r="H8" s="5">
        <v>335</v>
      </c>
      <c r="I8" s="16" t="s">
        <v>258</v>
      </c>
      <c r="J8" s="8" t="s">
        <v>260</v>
      </c>
      <c r="K8" s="10" t="s">
        <v>328</v>
      </c>
      <c r="L8" s="13"/>
      <c r="M8" s="119">
        <v>1324</v>
      </c>
    </row>
    <row r="9" spans="1:13" x14ac:dyDescent="0.2">
      <c r="A9" s="7" t="s">
        <v>327</v>
      </c>
      <c r="B9" s="22" t="s">
        <v>190</v>
      </c>
      <c r="C9" s="17" t="s">
        <v>257</v>
      </c>
      <c r="D9" s="5">
        <v>1900</v>
      </c>
      <c r="E9" s="4">
        <v>362</v>
      </c>
      <c r="F9" s="5">
        <v>281</v>
      </c>
      <c r="G9" s="4">
        <v>405</v>
      </c>
      <c r="H9" s="5">
        <v>335</v>
      </c>
      <c r="I9" s="16" t="s">
        <v>259</v>
      </c>
      <c r="J9" s="8" t="s">
        <v>261</v>
      </c>
      <c r="K9" s="10" t="s">
        <v>328</v>
      </c>
      <c r="L9" s="13"/>
      <c r="M9" s="119">
        <v>1324</v>
      </c>
    </row>
    <row r="10" spans="1:13" x14ac:dyDescent="0.2">
      <c r="A10" s="7"/>
      <c r="B10" s="22"/>
      <c r="C10" s="17"/>
      <c r="D10" s="5"/>
      <c r="E10" s="4"/>
      <c r="F10" s="5"/>
      <c r="G10" s="4"/>
      <c r="H10" s="5"/>
      <c r="I10" s="16"/>
      <c r="J10" s="8"/>
      <c r="K10" s="6"/>
      <c r="L10" s="6"/>
    </row>
    <row r="11" spans="1:13" x14ac:dyDescent="0.2">
      <c r="A11" s="7" t="s">
        <v>331</v>
      </c>
      <c r="B11" s="22" t="s">
        <v>190</v>
      </c>
      <c r="C11" s="17" t="s">
        <v>142</v>
      </c>
      <c r="D11" s="5">
        <v>1900</v>
      </c>
      <c r="E11" s="4">
        <v>362</v>
      </c>
      <c r="F11" s="5">
        <v>281</v>
      </c>
      <c r="G11" s="4">
        <v>405</v>
      </c>
      <c r="H11" s="5">
        <v>335</v>
      </c>
      <c r="I11" s="16" t="s">
        <v>67</v>
      </c>
      <c r="J11" s="8" t="s">
        <v>179</v>
      </c>
      <c r="K11" s="10" t="s">
        <v>328</v>
      </c>
      <c r="L11" s="13"/>
      <c r="M11" s="119">
        <v>1324</v>
      </c>
    </row>
    <row r="12" spans="1:13" x14ac:dyDescent="0.2">
      <c r="A12" s="7" t="s">
        <v>332</v>
      </c>
      <c r="B12" s="22" t="s">
        <v>190</v>
      </c>
      <c r="C12" s="17" t="s">
        <v>142</v>
      </c>
      <c r="D12" s="5">
        <v>1900</v>
      </c>
      <c r="E12" s="4">
        <v>362</v>
      </c>
      <c r="F12" s="5">
        <v>281</v>
      </c>
      <c r="G12" s="4">
        <v>405</v>
      </c>
      <c r="H12" s="5">
        <v>335</v>
      </c>
      <c r="I12" s="16" t="s">
        <v>67</v>
      </c>
      <c r="J12" s="8" t="s">
        <v>179</v>
      </c>
      <c r="K12" s="10" t="s">
        <v>328</v>
      </c>
      <c r="L12" s="13"/>
      <c r="M12" s="119">
        <v>1324</v>
      </c>
    </row>
    <row r="13" spans="1:13" x14ac:dyDescent="0.2">
      <c r="A13" s="7" t="s">
        <v>333</v>
      </c>
      <c r="B13" s="22" t="s">
        <v>190</v>
      </c>
      <c r="C13" s="17" t="s">
        <v>142</v>
      </c>
      <c r="D13" s="5">
        <v>1900</v>
      </c>
      <c r="E13" s="4">
        <v>362</v>
      </c>
      <c r="F13" s="5">
        <v>281</v>
      </c>
      <c r="G13" s="4">
        <v>405</v>
      </c>
      <c r="H13" s="5">
        <v>335</v>
      </c>
      <c r="I13" s="16" t="s">
        <v>67</v>
      </c>
      <c r="J13" s="8" t="s">
        <v>179</v>
      </c>
      <c r="K13" s="10" t="s">
        <v>328</v>
      </c>
      <c r="L13" s="13"/>
      <c r="M13" s="119">
        <v>1324</v>
      </c>
    </row>
    <row r="14" spans="1:13" x14ac:dyDescent="0.2">
      <c r="A14" s="7" t="s">
        <v>334</v>
      </c>
      <c r="B14" s="22" t="s">
        <v>190</v>
      </c>
      <c r="C14" s="17" t="s">
        <v>256</v>
      </c>
      <c r="D14" s="5">
        <v>1900</v>
      </c>
      <c r="E14" s="4">
        <v>362</v>
      </c>
      <c r="F14" s="5">
        <v>281</v>
      </c>
      <c r="G14" s="4">
        <v>405</v>
      </c>
      <c r="H14" s="5">
        <v>335</v>
      </c>
      <c r="I14" s="16" t="s">
        <v>258</v>
      </c>
      <c r="J14" s="8" t="s">
        <v>260</v>
      </c>
      <c r="K14" s="10" t="s">
        <v>328</v>
      </c>
      <c r="L14" s="13"/>
      <c r="M14" s="119">
        <v>1324</v>
      </c>
    </row>
    <row r="15" spans="1:13" x14ac:dyDescent="0.2">
      <c r="A15" s="7" t="s">
        <v>335</v>
      </c>
      <c r="B15" s="22" t="s">
        <v>190</v>
      </c>
      <c r="C15" s="17" t="s">
        <v>257</v>
      </c>
      <c r="D15" s="5">
        <v>1900</v>
      </c>
      <c r="E15" s="4">
        <v>362</v>
      </c>
      <c r="F15" s="5">
        <v>281</v>
      </c>
      <c r="G15" s="4">
        <v>405</v>
      </c>
      <c r="H15" s="5">
        <v>335</v>
      </c>
      <c r="I15" s="16" t="s">
        <v>259</v>
      </c>
      <c r="J15" s="8" t="s">
        <v>261</v>
      </c>
      <c r="K15" s="10" t="s">
        <v>328</v>
      </c>
      <c r="L15" s="13"/>
      <c r="M15" s="119">
        <v>1324</v>
      </c>
    </row>
    <row r="16" spans="1:13" x14ac:dyDescent="0.2">
      <c r="A16" s="7"/>
      <c r="B16" s="22"/>
      <c r="C16" s="17"/>
      <c r="D16" s="5"/>
      <c r="E16" s="4"/>
      <c r="F16" s="5"/>
      <c r="G16" s="4"/>
      <c r="H16" s="5"/>
      <c r="I16" s="16"/>
      <c r="J16" s="8"/>
      <c r="K16" s="6"/>
      <c r="L16" s="6"/>
    </row>
    <row r="17" spans="1:13" x14ac:dyDescent="0.2">
      <c r="A17" s="7" t="s">
        <v>336</v>
      </c>
      <c r="B17" s="22" t="s">
        <v>190</v>
      </c>
      <c r="C17" s="17" t="s">
        <v>142</v>
      </c>
      <c r="D17" s="5">
        <v>1900</v>
      </c>
      <c r="E17" s="4">
        <v>362</v>
      </c>
      <c r="F17" s="5">
        <v>281</v>
      </c>
      <c r="G17" s="4">
        <v>405</v>
      </c>
      <c r="H17" s="5">
        <v>335</v>
      </c>
      <c r="I17" s="16" t="s">
        <v>67</v>
      </c>
      <c r="J17" s="8" t="s">
        <v>179</v>
      </c>
      <c r="K17" s="10" t="s">
        <v>328</v>
      </c>
      <c r="L17" s="13"/>
      <c r="M17" s="119">
        <v>1324</v>
      </c>
    </row>
    <row r="18" spans="1:13" x14ac:dyDescent="0.2">
      <c r="A18" s="7" t="s">
        <v>337</v>
      </c>
      <c r="B18" s="22" t="s">
        <v>190</v>
      </c>
      <c r="C18" s="17" t="s">
        <v>142</v>
      </c>
      <c r="D18" s="5">
        <v>1900</v>
      </c>
      <c r="E18" s="4">
        <v>362</v>
      </c>
      <c r="F18" s="5">
        <v>281</v>
      </c>
      <c r="G18" s="4">
        <v>405</v>
      </c>
      <c r="H18" s="5">
        <v>335</v>
      </c>
      <c r="I18" s="16" t="s">
        <v>67</v>
      </c>
      <c r="J18" s="8" t="s">
        <v>179</v>
      </c>
      <c r="K18" s="10" t="s">
        <v>328</v>
      </c>
      <c r="L18" s="13"/>
      <c r="M18" s="119">
        <v>1324</v>
      </c>
    </row>
    <row r="19" spans="1:13" x14ac:dyDescent="0.2">
      <c r="A19" s="7" t="s">
        <v>338</v>
      </c>
      <c r="B19" s="22" t="s">
        <v>190</v>
      </c>
      <c r="C19" s="17" t="s">
        <v>142</v>
      </c>
      <c r="D19" s="5">
        <v>1900</v>
      </c>
      <c r="E19" s="4">
        <v>362</v>
      </c>
      <c r="F19" s="5">
        <v>281</v>
      </c>
      <c r="G19" s="4">
        <v>405</v>
      </c>
      <c r="H19" s="5">
        <v>335</v>
      </c>
      <c r="I19" s="16" t="s">
        <v>67</v>
      </c>
      <c r="J19" s="8" t="s">
        <v>179</v>
      </c>
      <c r="K19" s="10" t="s">
        <v>328</v>
      </c>
      <c r="L19" s="13"/>
      <c r="M19" s="119">
        <v>1324</v>
      </c>
    </row>
    <row r="20" spans="1:13" x14ac:dyDescent="0.2">
      <c r="A20" s="7" t="s">
        <v>339</v>
      </c>
      <c r="B20" s="22" t="s">
        <v>190</v>
      </c>
      <c r="C20" s="17" t="s">
        <v>142</v>
      </c>
      <c r="D20" s="5">
        <v>1900</v>
      </c>
      <c r="E20" s="4">
        <v>362</v>
      </c>
      <c r="F20" s="5">
        <v>281</v>
      </c>
      <c r="G20" s="4">
        <v>405</v>
      </c>
      <c r="H20" s="5">
        <v>335</v>
      </c>
      <c r="I20" s="16" t="s">
        <v>258</v>
      </c>
      <c r="J20" s="8" t="s">
        <v>260</v>
      </c>
      <c r="K20" s="10" t="s">
        <v>328</v>
      </c>
      <c r="L20" s="13"/>
      <c r="M20" s="119">
        <v>1324</v>
      </c>
    </row>
    <row r="21" spans="1:13" x14ac:dyDescent="0.2">
      <c r="A21" s="7" t="s">
        <v>340</v>
      </c>
      <c r="B21" s="22" t="s">
        <v>190</v>
      </c>
      <c r="C21" s="17" t="s">
        <v>142</v>
      </c>
      <c r="D21" s="5">
        <v>1900</v>
      </c>
      <c r="E21" s="4">
        <v>362</v>
      </c>
      <c r="F21" s="5">
        <v>281</v>
      </c>
      <c r="G21" s="4">
        <v>405</v>
      </c>
      <c r="H21" s="5">
        <v>335</v>
      </c>
      <c r="I21" s="16" t="s">
        <v>259</v>
      </c>
      <c r="J21" s="8" t="s">
        <v>261</v>
      </c>
      <c r="K21" s="10" t="s">
        <v>328</v>
      </c>
      <c r="M21" s="119">
        <v>1324</v>
      </c>
    </row>
    <row r="23" spans="1:13" x14ac:dyDescent="0.2">
      <c r="D23" t="s">
        <v>188</v>
      </c>
      <c r="E23" t="s">
        <v>189</v>
      </c>
    </row>
    <row r="27" spans="1:13" x14ac:dyDescent="0.2">
      <c r="A27" s="94" t="s">
        <v>308</v>
      </c>
      <c r="B27" s="117"/>
    </row>
    <row r="28" spans="1:13" ht="13.5" thickBot="1" x14ac:dyDescent="0.25">
      <c r="B28" s="117"/>
    </row>
    <row r="29" spans="1:13" x14ac:dyDescent="0.2">
      <c r="A29" s="370"/>
      <c r="B29" s="372" t="s">
        <v>306</v>
      </c>
      <c r="C29" s="372" t="s">
        <v>307</v>
      </c>
      <c r="D29" s="372" t="s">
        <v>330</v>
      </c>
      <c r="E29" s="123"/>
      <c r="F29" s="123"/>
      <c r="G29" s="123"/>
      <c r="H29" s="124"/>
      <c r="I29" s="123"/>
      <c r="J29" s="123"/>
      <c r="K29" s="123"/>
      <c r="L29" s="123"/>
      <c r="M29" s="124"/>
    </row>
    <row r="30" spans="1:13" x14ac:dyDescent="0.2">
      <c r="A30" s="371"/>
      <c r="B30" s="373"/>
      <c r="C30" s="373"/>
      <c r="D30" s="373"/>
      <c r="E30" s="125"/>
      <c r="F30" s="125"/>
      <c r="G30" s="125"/>
      <c r="H30" s="126"/>
      <c r="I30" s="125"/>
      <c r="J30" s="125"/>
      <c r="K30" s="125"/>
      <c r="L30" s="125"/>
      <c r="M30" s="126"/>
    </row>
    <row r="31" spans="1:13" x14ac:dyDescent="0.2">
      <c r="A31" s="371"/>
      <c r="B31" s="373"/>
      <c r="C31" s="373"/>
      <c r="D31" s="373"/>
      <c r="E31" s="152">
        <v>7220</v>
      </c>
      <c r="F31" s="152">
        <v>7235</v>
      </c>
      <c r="G31" s="152">
        <v>7250</v>
      </c>
      <c r="H31" s="153">
        <v>7260</v>
      </c>
      <c r="I31" s="152">
        <v>7220</v>
      </c>
      <c r="J31" s="152">
        <v>7235</v>
      </c>
      <c r="K31" s="152">
        <v>72250</v>
      </c>
      <c r="L31" s="152">
        <v>7260</v>
      </c>
      <c r="M31" s="153">
        <v>7270</v>
      </c>
    </row>
    <row r="32" spans="1:13" x14ac:dyDescent="0.2">
      <c r="A32" s="371"/>
      <c r="B32" s="373"/>
      <c r="C32" s="373"/>
      <c r="D32" s="373"/>
      <c r="E32" s="127"/>
      <c r="F32" s="127"/>
      <c r="G32" s="127"/>
      <c r="H32" s="128"/>
      <c r="I32" s="127"/>
      <c r="J32" s="127"/>
      <c r="K32" s="127"/>
      <c r="L32" s="156"/>
      <c r="M32" s="128"/>
    </row>
    <row r="33" spans="1:13" x14ac:dyDescent="0.2">
      <c r="A33" s="379"/>
      <c r="B33" s="360" t="s">
        <v>329</v>
      </c>
      <c r="C33" s="357" t="s">
        <v>305</v>
      </c>
      <c r="D33" s="129" t="s">
        <v>302</v>
      </c>
      <c r="E33" s="131">
        <v>6000</v>
      </c>
      <c r="F33" s="131">
        <v>6000</v>
      </c>
      <c r="G33" s="131">
        <v>6000</v>
      </c>
      <c r="H33" s="131">
        <v>6000</v>
      </c>
      <c r="I33" s="131">
        <v>6000</v>
      </c>
      <c r="J33" s="131">
        <v>6000</v>
      </c>
      <c r="K33" s="131">
        <v>6000</v>
      </c>
      <c r="L33" s="155">
        <v>6000</v>
      </c>
      <c r="M33" s="145">
        <v>6000</v>
      </c>
    </row>
    <row r="34" spans="1:13" x14ac:dyDescent="0.2">
      <c r="A34" s="379"/>
      <c r="B34" s="361"/>
      <c r="C34" s="358"/>
      <c r="D34" s="136" t="s">
        <v>303</v>
      </c>
      <c r="E34" s="146">
        <v>9500</v>
      </c>
      <c r="F34" s="146">
        <v>9500</v>
      </c>
      <c r="G34" s="146">
        <v>9500</v>
      </c>
      <c r="H34" s="146">
        <v>9500</v>
      </c>
      <c r="I34" s="146">
        <v>9500</v>
      </c>
      <c r="J34" s="146">
        <v>9500</v>
      </c>
      <c r="K34" s="146">
        <v>9500</v>
      </c>
      <c r="L34" s="146">
        <v>9500</v>
      </c>
      <c r="M34" s="157">
        <v>9500</v>
      </c>
    </row>
    <row r="35" spans="1:13" ht="13.5" thickBot="1" x14ac:dyDescent="0.25">
      <c r="A35" s="385"/>
      <c r="B35" s="389"/>
      <c r="C35" s="362"/>
      <c r="D35" s="147" t="s">
        <v>304</v>
      </c>
      <c r="E35" s="148">
        <v>13000</v>
      </c>
      <c r="F35" s="148">
        <v>13000</v>
      </c>
      <c r="G35" s="148">
        <v>13000</v>
      </c>
      <c r="H35" s="148">
        <v>13000</v>
      </c>
      <c r="I35" s="148">
        <v>13000</v>
      </c>
      <c r="J35" s="148">
        <v>13000</v>
      </c>
      <c r="K35" s="148">
        <v>13000</v>
      </c>
      <c r="L35" s="148">
        <v>13000</v>
      </c>
      <c r="M35" s="149">
        <v>13000</v>
      </c>
    </row>
  </sheetData>
  <mergeCells count="10">
    <mergeCell ref="A33:A35"/>
    <mergeCell ref="B33:B35"/>
    <mergeCell ref="C33:C35"/>
    <mergeCell ref="A1:J2"/>
    <mergeCell ref="K1:M2"/>
    <mergeCell ref="L3:M3"/>
    <mergeCell ref="A29:A32"/>
    <mergeCell ref="B29:B32"/>
    <mergeCell ref="C29:C32"/>
    <mergeCell ref="D29:D32"/>
  </mergeCells>
  <printOptions gridLines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/>
  <dimension ref="A1:M32"/>
  <sheetViews>
    <sheetView zoomScale="75" workbookViewId="0">
      <selection activeCell="K11" sqref="K11"/>
    </sheetView>
  </sheetViews>
  <sheetFormatPr defaultRowHeight="12.75" x14ac:dyDescent="0.2"/>
  <cols>
    <col min="1" max="1" width="14.140625" customWidth="1"/>
    <col min="2" max="2" width="5.85546875" bestFit="1" customWidth="1"/>
    <col min="3" max="3" width="6.42578125" customWidth="1"/>
    <col min="5" max="5" width="7" customWidth="1"/>
    <col min="7" max="7" width="8" customWidth="1"/>
    <col min="11" max="11" width="8.7109375" customWidth="1"/>
    <col min="12" max="13" width="18.85546875" customWidth="1"/>
  </cols>
  <sheetData>
    <row r="1" spans="1:13" ht="12.75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326" t="s">
        <v>1</v>
      </c>
      <c r="L1" s="327"/>
      <c r="M1" s="327"/>
    </row>
    <row r="2" spans="1:13" ht="13.5" customHeight="1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69"/>
    </row>
    <row r="3" spans="1:13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341</v>
      </c>
      <c r="L3" s="352" t="s">
        <v>134</v>
      </c>
      <c r="M3" s="353"/>
    </row>
    <row r="4" spans="1:13" ht="13.5" thickBot="1" x14ac:dyDescent="0.25">
      <c r="A4" s="47"/>
      <c r="B4" s="48" t="s">
        <v>167</v>
      </c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49" t="s">
        <v>11</v>
      </c>
      <c r="J4" s="29" t="s">
        <v>12</v>
      </c>
      <c r="K4" s="47" t="s">
        <v>342</v>
      </c>
      <c r="L4" s="5"/>
    </row>
    <row r="5" spans="1:13" x14ac:dyDescent="0.2">
      <c r="A5" s="7" t="s">
        <v>453</v>
      </c>
      <c r="B5" s="22" t="s">
        <v>190</v>
      </c>
      <c r="C5" s="17" t="s">
        <v>142</v>
      </c>
      <c r="D5" s="5">
        <v>1900</v>
      </c>
      <c r="E5" s="4">
        <v>362</v>
      </c>
      <c r="F5" s="5">
        <v>281</v>
      </c>
      <c r="G5" s="4">
        <v>405</v>
      </c>
      <c r="H5" s="5">
        <v>335</v>
      </c>
      <c r="I5" s="16" t="s">
        <v>67</v>
      </c>
      <c r="J5" s="8" t="s">
        <v>179</v>
      </c>
      <c r="K5" s="10" t="s">
        <v>328</v>
      </c>
      <c r="L5" s="13"/>
      <c r="M5" s="119">
        <v>1324</v>
      </c>
    </row>
    <row r="6" spans="1:13" x14ac:dyDescent="0.2">
      <c r="A6" s="7" t="s">
        <v>454</v>
      </c>
      <c r="B6" s="22" t="s">
        <v>190</v>
      </c>
      <c r="C6" s="17" t="s">
        <v>142</v>
      </c>
      <c r="D6" s="5">
        <v>1900</v>
      </c>
      <c r="E6" s="4">
        <v>362</v>
      </c>
      <c r="F6" s="5">
        <v>281</v>
      </c>
      <c r="G6" s="4">
        <v>405</v>
      </c>
      <c r="H6" s="5">
        <v>335</v>
      </c>
      <c r="I6" s="16" t="s">
        <v>67</v>
      </c>
      <c r="J6" s="8" t="s">
        <v>179</v>
      </c>
      <c r="K6" s="10" t="s">
        <v>328</v>
      </c>
      <c r="L6" s="13"/>
      <c r="M6" s="119">
        <v>1324</v>
      </c>
    </row>
    <row r="7" spans="1:13" x14ac:dyDescent="0.2">
      <c r="A7" s="7" t="s">
        <v>326</v>
      </c>
      <c r="B7" s="22" t="s">
        <v>190</v>
      </c>
      <c r="C7" s="17" t="s">
        <v>256</v>
      </c>
      <c r="D7" s="5">
        <v>1900</v>
      </c>
      <c r="E7" s="4">
        <v>362</v>
      </c>
      <c r="F7" s="5">
        <v>281</v>
      </c>
      <c r="G7" s="4">
        <v>405</v>
      </c>
      <c r="H7" s="5">
        <v>335</v>
      </c>
      <c r="I7" s="16" t="s">
        <v>258</v>
      </c>
      <c r="J7" s="8" t="s">
        <v>260</v>
      </c>
      <c r="K7" s="10" t="s">
        <v>328</v>
      </c>
      <c r="L7" s="13"/>
      <c r="M7" s="119">
        <v>1324</v>
      </c>
    </row>
    <row r="8" spans="1:13" x14ac:dyDescent="0.2">
      <c r="A8" s="7" t="s">
        <v>327</v>
      </c>
      <c r="B8" s="22" t="s">
        <v>190</v>
      </c>
      <c r="C8" s="17" t="s">
        <v>257</v>
      </c>
      <c r="D8" s="5">
        <v>1900</v>
      </c>
      <c r="E8" s="4">
        <v>362</v>
      </c>
      <c r="F8" s="5">
        <v>281</v>
      </c>
      <c r="G8" s="4">
        <v>405</v>
      </c>
      <c r="H8" s="5">
        <v>335</v>
      </c>
      <c r="I8" s="16" t="s">
        <v>259</v>
      </c>
      <c r="J8" s="8" t="s">
        <v>261</v>
      </c>
      <c r="K8" s="10" t="s">
        <v>328</v>
      </c>
      <c r="L8" s="13"/>
      <c r="M8" s="119">
        <v>1324</v>
      </c>
    </row>
    <row r="9" spans="1:13" x14ac:dyDescent="0.2">
      <c r="A9" s="7"/>
      <c r="B9" s="22"/>
      <c r="C9" s="17"/>
      <c r="D9" s="5"/>
      <c r="E9" s="4"/>
      <c r="F9" s="5"/>
      <c r="G9" s="4"/>
      <c r="H9" s="5"/>
      <c r="I9" s="16"/>
      <c r="J9" s="8"/>
      <c r="K9" s="6"/>
      <c r="L9" s="6"/>
    </row>
    <row r="10" spans="1:13" x14ac:dyDescent="0.2">
      <c r="A10" s="7" t="s">
        <v>455</v>
      </c>
      <c r="B10" s="22" t="s">
        <v>190</v>
      </c>
      <c r="C10" s="17" t="s">
        <v>142</v>
      </c>
      <c r="D10" s="5">
        <v>1900</v>
      </c>
      <c r="E10" s="4">
        <v>362</v>
      </c>
      <c r="F10" s="5">
        <v>281</v>
      </c>
      <c r="G10" s="4">
        <v>405</v>
      </c>
      <c r="H10" s="5">
        <v>335</v>
      </c>
      <c r="I10" s="16" t="s">
        <v>67</v>
      </c>
      <c r="J10" s="8" t="s">
        <v>179</v>
      </c>
      <c r="K10" s="10" t="s">
        <v>328</v>
      </c>
      <c r="L10" s="13"/>
      <c r="M10" s="119">
        <v>1324</v>
      </c>
    </row>
    <row r="11" spans="1:13" x14ac:dyDescent="0.2">
      <c r="A11" s="7" t="s">
        <v>456</v>
      </c>
      <c r="B11" s="22" t="s">
        <v>190</v>
      </c>
      <c r="C11" s="17" t="s">
        <v>142</v>
      </c>
      <c r="D11" s="5">
        <v>1900</v>
      </c>
      <c r="E11" s="4">
        <v>362</v>
      </c>
      <c r="F11" s="5">
        <v>281</v>
      </c>
      <c r="G11" s="4">
        <v>405</v>
      </c>
      <c r="H11" s="5">
        <v>335</v>
      </c>
      <c r="I11" s="16" t="s">
        <v>67</v>
      </c>
      <c r="J11" s="8" t="s">
        <v>179</v>
      </c>
      <c r="K11" s="10" t="s">
        <v>328</v>
      </c>
      <c r="L11" s="13"/>
      <c r="M11" s="119">
        <v>1324</v>
      </c>
    </row>
    <row r="12" spans="1:13" x14ac:dyDescent="0.2">
      <c r="A12" s="7" t="s">
        <v>334</v>
      </c>
      <c r="B12" s="22" t="s">
        <v>190</v>
      </c>
      <c r="C12" s="17" t="s">
        <v>256</v>
      </c>
      <c r="D12" s="5">
        <v>1900</v>
      </c>
      <c r="E12" s="4">
        <v>362</v>
      </c>
      <c r="F12" s="5">
        <v>281</v>
      </c>
      <c r="G12" s="4">
        <v>405</v>
      </c>
      <c r="H12" s="5">
        <v>335</v>
      </c>
      <c r="I12" s="16" t="s">
        <v>258</v>
      </c>
      <c r="J12" s="8" t="s">
        <v>260</v>
      </c>
      <c r="K12" s="10" t="s">
        <v>328</v>
      </c>
      <c r="L12" s="13"/>
      <c r="M12" s="119">
        <v>1324</v>
      </c>
    </row>
    <row r="13" spans="1:13" x14ac:dyDescent="0.2">
      <c r="A13" s="7" t="s">
        <v>335</v>
      </c>
      <c r="B13" s="22" t="s">
        <v>190</v>
      </c>
      <c r="C13" s="17" t="s">
        <v>257</v>
      </c>
      <c r="D13" s="5">
        <v>1900</v>
      </c>
      <c r="E13" s="4">
        <v>362</v>
      </c>
      <c r="F13" s="5">
        <v>281</v>
      </c>
      <c r="G13" s="4">
        <v>405</v>
      </c>
      <c r="H13" s="5">
        <v>335</v>
      </c>
      <c r="I13" s="16" t="s">
        <v>259</v>
      </c>
      <c r="J13" s="8" t="s">
        <v>261</v>
      </c>
      <c r="K13" s="10" t="s">
        <v>328</v>
      </c>
      <c r="L13" s="13"/>
      <c r="M13" s="119">
        <v>1324</v>
      </c>
    </row>
    <row r="14" spans="1:13" x14ac:dyDescent="0.2">
      <c r="A14" s="7"/>
      <c r="B14" s="22"/>
      <c r="C14" s="17"/>
      <c r="D14" s="5"/>
      <c r="E14" s="4"/>
      <c r="F14" s="5"/>
      <c r="G14" s="4"/>
      <c r="H14" s="5"/>
      <c r="I14" s="16"/>
      <c r="J14" s="8"/>
      <c r="K14" s="6"/>
      <c r="L14" s="6"/>
    </row>
    <row r="15" spans="1:13" x14ac:dyDescent="0.2">
      <c r="A15" s="7" t="s">
        <v>457</v>
      </c>
      <c r="B15" s="22" t="s">
        <v>190</v>
      </c>
      <c r="C15" s="17" t="s">
        <v>142</v>
      </c>
      <c r="D15" s="5">
        <v>1900</v>
      </c>
      <c r="E15" s="4">
        <v>362</v>
      </c>
      <c r="F15" s="5">
        <v>281</v>
      </c>
      <c r="G15" s="4">
        <v>405</v>
      </c>
      <c r="H15" s="5">
        <v>335</v>
      </c>
      <c r="I15" s="16" t="s">
        <v>67</v>
      </c>
      <c r="J15" s="8" t="s">
        <v>179</v>
      </c>
      <c r="K15" s="10" t="s">
        <v>328</v>
      </c>
      <c r="L15" s="13"/>
      <c r="M15" s="119">
        <v>1324</v>
      </c>
    </row>
    <row r="16" spans="1:13" x14ac:dyDescent="0.2">
      <c r="A16" s="7" t="s">
        <v>458</v>
      </c>
      <c r="B16" s="22" t="s">
        <v>190</v>
      </c>
      <c r="C16" s="17" t="s">
        <v>142</v>
      </c>
      <c r="D16" s="5">
        <v>1900</v>
      </c>
      <c r="E16" s="4">
        <v>362</v>
      </c>
      <c r="F16" s="5">
        <v>281</v>
      </c>
      <c r="G16" s="4">
        <v>405</v>
      </c>
      <c r="H16" s="5">
        <v>335</v>
      </c>
      <c r="I16" s="16" t="s">
        <v>67</v>
      </c>
      <c r="J16" s="8" t="s">
        <v>179</v>
      </c>
      <c r="K16" s="10" t="s">
        <v>328</v>
      </c>
      <c r="L16" s="13"/>
      <c r="M16" s="119">
        <v>1324</v>
      </c>
    </row>
    <row r="17" spans="1:13" x14ac:dyDescent="0.2">
      <c r="A17" s="7" t="s">
        <v>339</v>
      </c>
      <c r="B17" s="22" t="s">
        <v>190</v>
      </c>
      <c r="C17" s="17" t="s">
        <v>142</v>
      </c>
      <c r="D17" s="5">
        <v>1900</v>
      </c>
      <c r="E17" s="4">
        <v>362</v>
      </c>
      <c r="F17" s="5">
        <v>281</v>
      </c>
      <c r="G17" s="4">
        <v>405</v>
      </c>
      <c r="H17" s="5">
        <v>335</v>
      </c>
      <c r="I17" s="16" t="s">
        <v>258</v>
      </c>
      <c r="J17" s="8" t="s">
        <v>260</v>
      </c>
      <c r="K17" s="10" t="s">
        <v>328</v>
      </c>
      <c r="L17" s="13"/>
      <c r="M17" s="119">
        <v>1324</v>
      </c>
    </row>
    <row r="18" spans="1:13" x14ac:dyDescent="0.2">
      <c r="A18" s="7" t="s">
        <v>340</v>
      </c>
      <c r="B18" s="22" t="s">
        <v>190</v>
      </c>
      <c r="C18" s="17" t="s">
        <v>142</v>
      </c>
      <c r="D18" s="5">
        <v>1900</v>
      </c>
      <c r="E18" s="4">
        <v>362</v>
      </c>
      <c r="F18" s="5">
        <v>281</v>
      </c>
      <c r="G18" s="4">
        <v>405</v>
      </c>
      <c r="H18" s="5">
        <v>335</v>
      </c>
      <c r="I18" s="16" t="s">
        <v>259</v>
      </c>
      <c r="J18" s="8" t="s">
        <v>261</v>
      </c>
      <c r="K18" s="10" t="s">
        <v>328</v>
      </c>
      <c r="M18" s="119">
        <v>1324</v>
      </c>
    </row>
    <row r="20" spans="1:13" x14ac:dyDescent="0.2">
      <c r="D20" t="s">
        <v>188</v>
      </c>
      <c r="E20" t="s">
        <v>189</v>
      </c>
    </row>
    <row r="24" spans="1:13" x14ac:dyDescent="0.2">
      <c r="A24" s="94" t="s">
        <v>308</v>
      </c>
      <c r="B24" s="117"/>
    </row>
    <row r="25" spans="1:13" ht="13.5" thickBot="1" x14ac:dyDescent="0.25">
      <c r="B25" s="117"/>
    </row>
    <row r="26" spans="1:13" x14ac:dyDescent="0.2">
      <c r="A26" s="370"/>
      <c r="B26" s="372" t="s">
        <v>306</v>
      </c>
      <c r="C26" s="372" t="s">
        <v>307</v>
      </c>
      <c r="D26" s="372" t="s">
        <v>330</v>
      </c>
      <c r="E26" s="123"/>
      <c r="F26" s="123"/>
      <c r="G26" s="123"/>
      <c r="H26" s="124"/>
      <c r="I26" s="123"/>
      <c r="J26" s="123"/>
      <c r="K26" s="123"/>
      <c r="L26" s="123"/>
      <c r="M26" s="124"/>
    </row>
    <row r="27" spans="1:13" x14ac:dyDescent="0.2">
      <c r="A27" s="371"/>
      <c r="B27" s="373"/>
      <c r="C27" s="373"/>
      <c r="D27" s="373"/>
      <c r="E27" s="125"/>
      <c r="F27" s="125"/>
      <c r="G27" s="125"/>
      <c r="H27" s="126"/>
      <c r="I27" s="125"/>
      <c r="J27" s="125"/>
      <c r="K27" s="125"/>
      <c r="L27" s="125"/>
      <c r="M27" s="126"/>
    </row>
    <row r="28" spans="1:13" x14ac:dyDescent="0.2">
      <c r="A28" s="371"/>
      <c r="B28" s="373"/>
      <c r="C28" s="373"/>
      <c r="D28" s="373"/>
      <c r="E28" s="152">
        <v>7220</v>
      </c>
      <c r="F28" s="152">
        <v>7235</v>
      </c>
      <c r="G28" s="152">
        <v>7250</v>
      </c>
      <c r="H28" s="153">
        <v>7260</v>
      </c>
      <c r="I28" s="152">
        <v>7220</v>
      </c>
      <c r="J28" s="152">
        <v>7235</v>
      </c>
      <c r="K28" s="152">
        <v>72250</v>
      </c>
      <c r="L28" s="152">
        <v>7260</v>
      </c>
      <c r="M28" s="153">
        <v>7270</v>
      </c>
    </row>
    <row r="29" spans="1:13" x14ac:dyDescent="0.2">
      <c r="A29" s="371"/>
      <c r="B29" s="373"/>
      <c r="C29" s="373"/>
      <c r="D29" s="373"/>
      <c r="E29" s="127"/>
      <c r="F29" s="127"/>
      <c r="G29" s="127"/>
      <c r="H29" s="128"/>
      <c r="I29" s="127"/>
      <c r="J29" s="127"/>
      <c r="K29" s="127"/>
      <c r="L29" s="156"/>
      <c r="M29" s="128"/>
    </row>
    <row r="30" spans="1:13" x14ac:dyDescent="0.2">
      <c r="A30" s="379"/>
      <c r="B30" s="360" t="s">
        <v>329</v>
      </c>
      <c r="C30" s="357" t="s">
        <v>305</v>
      </c>
      <c r="D30" s="129" t="s">
        <v>302</v>
      </c>
      <c r="E30" s="131">
        <v>6000</v>
      </c>
      <c r="F30" s="131">
        <v>6000</v>
      </c>
      <c r="G30" s="131">
        <v>6000</v>
      </c>
      <c r="H30" s="131">
        <v>6000</v>
      </c>
      <c r="I30" s="131">
        <v>6000</v>
      </c>
      <c r="J30" s="131">
        <v>6000</v>
      </c>
      <c r="K30" s="131">
        <v>6000</v>
      </c>
      <c r="L30" s="155">
        <v>6000</v>
      </c>
      <c r="M30" s="145">
        <v>6000</v>
      </c>
    </row>
    <row r="31" spans="1:13" x14ac:dyDescent="0.2">
      <c r="A31" s="379"/>
      <c r="B31" s="361"/>
      <c r="C31" s="358"/>
      <c r="D31" s="136" t="s">
        <v>303</v>
      </c>
      <c r="E31" s="146">
        <v>9500</v>
      </c>
      <c r="F31" s="146">
        <v>9500</v>
      </c>
      <c r="G31" s="146">
        <v>9500</v>
      </c>
      <c r="H31" s="146">
        <v>9500</v>
      </c>
      <c r="I31" s="146">
        <v>9500</v>
      </c>
      <c r="J31" s="146">
        <v>9500</v>
      </c>
      <c r="K31" s="146">
        <v>9500</v>
      </c>
      <c r="L31" s="146">
        <v>9500</v>
      </c>
      <c r="M31" s="157">
        <v>9500</v>
      </c>
    </row>
    <row r="32" spans="1:13" ht="13.5" thickBot="1" x14ac:dyDescent="0.25">
      <c r="A32" s="385"/>
      <c r="B32" s="389"/>
      <c r="C32" s="362"/>
      <c r="D32" s="147" t="s">
        <v>304</v>
      </c>
      <c r="E32" s="148">
        <v>13000</v>
      </c>
      <c r="F32" s="148">
        <v>13000</v>
      </c>
      <c r="G32" s="148">
        <v>13000</v>
      </c>
      <c r="H32" s="148">
        <v>13000</v>
      </c>
      <c r="I32" s="148">
        <v>13000</v>
      </c>
      <c r="J32" s="148">
        <v>13000</v>
      </c>
      <c r="K32" s="148">
        <v>13000</v>
      </c>
      <c r="L32" s="148">
        <v>13000</v>
      </c>
      <c r="M32" s="149">
        <v>13000</v>
      </c>
    </row>
  </sheetData>
  <mergeCells count="10">
    <mergeCell ref="A30:A32"/>
    <mergeCell ref="B30:B32"/>
    <mergeCell ref="C30:C32"/>
    <mergeCell ref="A1:J2"/>
    <mergeCell ref="K1:M2"/>
    <mergeCell ref="L3:M3"/>
    <mergeCell ref="A26:A29"/>
    <mergeCell ref="B26:B29"/>
    <mergeCell ref="C26:C29"/>
    <mergeCell ref="D26:D29"/>
  </mergeCells>
  <printOptions gridLines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O17"/>
  <sheetViews>
    <sheetView tabSelected="1" workbookViewId="0">
      <selection activeCell="O18" sqref="O18"/>
    </sheetView>
  </sheetViews>
  <sheetFormatPr defaultRowHeight="12.75" x14ac:dyDescent="0.2"/>
  <sheetData>
    <row r="1" spans="1:13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65" t="s">
        <v>1</v>
      </c>
      <c r="L1" s="266"/>
      <c r="M1" s="267"/>
    </row>
    <row r="2" spans="1:13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68"/>
      <c r="L2" s="269"/>
      <c r="M2" s="270"/>
    </row>
    <row r="3" spans="1:13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341</v>
      </c>
      <c r="L3" s="352" t="s">
        <v>134</v>
      </c>
      <c r="M3" s="353"/>
    </row>
    <row r="4" spans="1:13" ht="13.5" thickBot="1" x14ac:dyDescent="0.25">
      <c r="A4" s="47"/>
      <c r="B4" s="48" t="s">
        <v>167</v>
      </c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49" t="s">
        <v>11</v>
      </c>
      <c r="J4" s="29" t="s">
        <v>12</v>
      </c>
      <c r="K4" s="47" t="s">
        <v>342</v>
      </c>
      <c r="L4" s="5"/>
      <c r="M4" s="33"/>
    </row>
    <row r="5" spans="1:13" x14ac:dyDescent="0.2">
      <c r="A5" s="7" t="s">
        <v>473</v>
      </c>
      <c r="B5" s="22" t="s">
        <v>190</v>
      </c>
      <c r="C5" s="17" t="s">
        <v>471</v>
      </c>
      <c r="D5" s="5">
        <v>1900</v>
      </c>
      <c r="E5" s="4">
        <v>370</v>
      </c>
      <c r="F5" s="5">
        <v>281</v>
      </c>
      <c r="G5" s="4">
        <v>425</v>
      </c>
      <c r="H5" s="5">
        <v>335</v>
      </c>
      <c r="I5" s="16" t="s">
        <v>472</v>
      </c>
      <c r="J5" s="8" t="s">
        <v>179</v>
      </c>
      <c r="K5" s="10" t="s">
        <v>328</v>
      </c>
      <c r="L5" s="13"/>
      <c r="M5" s="217">
        <v>1324</v>
      </c>
    </row>
    <row r="6" spans="1:13" ht="13.5" thickBot="1" x14ac:dyDescent="0.25">
      <c r="A6" s="58" t="s">
        <v>474</v>
      </c>
      <c r="B6" s="76" t="s">
        <v>190</v>
      </c>
      <c r="C6" s="52" t="s">
        <v>471</v>
      </c>
      <c r="D6" s="53">
        <v>1900</v>
      </c>
      <c r="E6" s="59">
        <v>370</v>
      </c>
      <c r="F6" s="53">
        <v>281</v>
      </c>
      <c r="G6" s="59">
        <v>425</v>
      </c>
      <c r="H6" s="53">
        <v>335</v>
      </c>
      <c r="I6" s="218" t="s">
        <v>472</v>
      </c>
      <c r="J6" s="219" t="s">
        <v>179</v>
      </c>
      <c r="K6" s="220" t="s">
        <v>328</v>
      </c>
      <c r="L6" s="221"/>
      <c r="M6" s="222">
        <v>1324</v>
      </c>
    </row>
    <row r="7" spans="1:13" x14ac:dyDescent="0.2">
      <c r="A7" s="7"/>
      <c r="B7" s="22"/>
      <c r="C7" s="17"/>
      <c r="D7" s="5"/>
      <c r="E7" s="4"/>
      <c r="F7" s="5"/>
      <c r="G7" s="4"/>
      <c r="H7" s="5"/>
      <c r="I7" s="16"/>
      <c r="J7" s="8"/>
      <c r="K7" s="10"/>
      <c r="L7" s="13"/>
      <c r="M7" s="119"/>
    </row>
    <row r="11" spans="1:13" x14ac:dyDescent="0.2">
      <c r="A11" s="94" t="s">
        <v>308</v>
      </c>
      <c r="B11" s="117"/>
    </row>
    <row r="12" spans="1:13" x14ac:dyDescent="0.2">
      <c r="B12" s="117"/>
    </row>
    <row r="17" spans="15:15" x14ac:dyDescent="0.2">
      <c r="O17">
        <f>-0</f>
        <v>0</v>
      </c>
    </row>
  </sheetData>
  <mergeCells count="3">
    <mergeCell ref="A1:J2"/>
    <mergeCell ref="K1:M2"/>
    <mergeCell ref="L3:M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/>
  <dimension ref="A1:O20"/>
  <sheetViews>
    <sheetView zoomScale="75" workbookViewId="0">
      <selection activeCell="L25" sqref="L25"/>
    </sheetView>
  </sheetViews>
  <sheetFormatPr defaultRowHeight="12.75" x14ac:dyDescent="0.2"/>
  <cols>
    <col min="1" max="1" width="18.28515625" customWidth="1"/>
    <col min="2" max="2" width="4.140625" customWidth="1"/>
    <col min="3" max="3" width="6.28515625" customWidth="1"/>
    <col min="4" max="4" width="8.42578125" customWidth="1"/>
    <col min="5" max="5" width="6.28515625" customWidth="1"/>
    <col min="7" max="7" width="8.5703125" customWidth="1"/>
    <col min="10" max="10" width="9.7109375" customWidth="1"/>
    <col min="11" max="11" width="7.42578125" customWidth="1"/>
    <col min="12" max="12" width="8.140625" customWidth="1"/>
    <col min="13" max="13" width="8" customWidth="1"/>
    <col min="15" max="15" width="11.14062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27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48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67" t="s">
        <v>140</v>
      </c>
      <c r="B5" s="67"/>
      <c r="C5" s="72"/>
      <c r="D5" s="3"/>
      <c r="E5" s="73"/>
      <c r="F5" s="3"/>
      <c r="G5" s="73"/>
      <c r="H5" s="3"/>
      <c r="I5" s="74"/>
      <c r="J5" s="75"/>
      <c r="K5" s="4"/>
      <c r="L5" s="6"/>
      <c r="M5" s="6"/>
      <c r="N5" s="6"/>
      <c r="O5" s="6"/>
    </row>
    <row r="6" spans="1:15" x14ac:dyDescent="0.2">
      <c r="A6" s="7" t="s">
        <v>141</v>
      </c>
      <c r="B6" s="7"/>
      <c r="C6" s="17"/>
      <c r="D6" s="5"/>
      <c r="E6" s="4"/>
      <c r="F6" s="5"/>
      <c r="G6" s="4"/>
      <c r="H6" s="5"/>
      <c r="I6" s="40"/>
      <c r="J6" s="9"/>
      <c r="K6" s="4"/>
      <c r="L6" s="6"/>
      <c r="M6" s="6"/>
      <c r="N6" s="6"/>
      <c r="O6" s="6"/>
    </row>
    <row r="7" spans="1:15" x14ac:dyDescent="0.2">
      <c r="A7" s="70" t="s">
        <v>135</v>
      </c>
      <c r="B7" s="70"/>
      <c r="C7" s="17" t="s">
        <v>125</v>
      </c>
      <c r="D7" s="5">
        <v>1890</v>
      </c>
      <c r="E7" s="4">
        <v>280</v>
      </c>
      <c r="F7" s="5" t="s">
        <v>143</v>
      </c>
      <c r="G7" s="4">
        <v>335</v>
      </c>
      <c r="H7" s="5">
        <v>275</v>
      </c>
      <c r="I7" s="40" t="s">
        <v>144</v>
      </c>
      <c r="J7" s="9" t="s">
        <v>146</v>
      </c>
      <c r="K7" s="4"/>
      <c r="L7" s="6"/>
      <c r="M7" s="6"/>
      <c r="N7" s="6"/>
      <c r="O7" s="6">
        <v>1.327</v>
      </c>
    </row>
    <row r="8" spans="1:15" x14ac:dyDescent="0.2">
      <c r="A8" s="70" t="s">
        <v>136</v>
      </c>
      <c r="B8" s="70"/>
      <c r="C8" s="17" t="s">
        <v>125</v>
      </c>
      <c r="D8" s="5">
        <v>1890</v>
      </c>
      <c r="E8" s="4">
        <v>280</v>
      </c>
      <c r="F8" s="5" t="s">
        <v>143</v>
      </c>
      <c r="G8" s="4">
        <v>335</v>
      </c>
      <c r="H8" s="5">
        <v>275</v>
      </c>
      <c r="I8" s="40" t="s">
        <v>144</v>
      </c>
      <c r="J8" s="9" t="s">
        <v>146</v>
      </c>
      <c r="K8" s="4"/>
      <c r="L8" s="6"/>
      <c r="M8" s="6"/>
      <c r="N8" s="6"/>
      <c r="O8" s="6">
        <v>1.327</v>
      </c>
    </row>
    <row r="9" spans="1:15" x14ac:dyDescent="0.2">
      <c r="A9" s="70" t="s">
        <v>137</v>
      </c>
      <c r="B9" s="70"/>
      <c r="C9" s="17" t="s">
        <v>125</v>
      </c>
      <c r="D9" s="5">
        <v>1890</v>
      </c>
      <c r="E9" s="4">
        <v>280</v>
      </c>
      <c r="F9" s="5" t="s">
        <v>143</v>
      </c>
      <c r="G9" s="4">
        <v>335</v>
      </c>
      <c r="H9" s="5">
        <v>275</v>
      </c>
      <c r="I9" s="40" t="s">
        <v>144</v>
      </c>
      <c r="J9" s="9" t="s">
        <v>146</v>
      </c>
      <c r="K9" s="4"/>
      <c r="L9" s="6"/>
      <c r="M9" s="6"/>
      <c r="N9" s="6"/>
      <c r="O9" s="6">
        <v>1.331</v>
      </c>
    </row>
    <row r="10" spans="1:15" x14ac:dyDescent="0.2">
      <c r="A10" s="70" t="s">
        <v>138</v>
      </c>
      <c r="B10" s="70"/>
      <c r="C10" s="17" t="s">
        <v>142</v>
      </c>
      <c r="D10" s="5">
        <v>1890</v>
      </c>
      <c r="E10" s="4">
        <v>280</v>
      </c>
      <c r="F10" s="5" t="s">
        <v>143</v>
      </c>
      <c r="G10" s="4">
        <v>335</v>
      </c>
      <c r="H10" s="5">
        <v>275</v>
      </c>
      <c r="I10" s="40" t="s">
        <v>145</v>
      </c>
      <c r="J10" s="9" t="s">
        <v>146</v>
      </c>
      <c r="K10" s="4"/>
      <c r="L10" s="6"/>
      <c r="M10" s="6"/>
      <c r="N10" s="6"/>
      <c r="O10" s="6">
        <v>1.3180000000000001</v>
      </c>
    </row>
    <row r="11" spans="1:15" ht="13.5" thickBot="1" x14ac:dyDescent="0.25">
      <c r="A11" s="71" t="s">
        <v>139</v>
      </c>
      <c r="B11" s="71"/>
      <c r="C11" s="52" t="s">
        <v>142</v>
      </c>
      <c r="D11" s="53">
        <v>1890</v>
      </c>
      <c r="E11" s="59">
        <v>280</v>
      </c>
      <c r="F11" s="53" t="s">
        <v>143</v>
      </c>
      <c r="G11" s="59">
        <v>335</v>
      </c>
      <c r="H11" s="53">
        <v>275</v>
      </c>
      <c r="I11" s="60" t="s">
        <v>145</v>
      </c>
      <c r="J11" s="56" t="s">
        <v>146</v>
      </c>
      <c r="K11" s="59"/>
      <c r="L11" s="57"/>
      <c r="M11" s="57"/>
      <c r="N11" s="57"/>
      <c r="O11" s="57">
        <v>1.3180000000000001</v>
      </c>
    </row>
    <row r="13" spans="1:15" ht="13.5" thickBot="1" x14ac:dyDescent="0.25">
      <c r="K13" s="120"/>
      <c r="M13" s="120"/>
      <c r="O13" s="120"/>
    </row>
    <row r="14" spans="1:15" x14ac:dyDescent="0.2">
      <c r="A14" s="67" t="s">
        <v>140</v>
      </c>
      <c r="B14" s="67"/>
      <c r="C14" s="72"/>
      <c r="D14" s="3"/>
      <c r="E14" s="73"/>
      <c r="F14" s="3"/>
      <c r="G14" s="73"/>
      <c r="H14" s="3"/>
      <c r="I14" s="74"/>
      <c r="J14" s="75"/>
      <c r="K14" s="4"/>
      <c r="L14" s="31"/>
      <c r="M14" s="6"/>
      <c r="N14" s="31"/>
      <c r="O14" s="6"/>
    </row>
    <row r="15" spans="1:15" x14ac:dyDescent="0.2">
      <c r="A15" s="7" t="s">
        <v>141</v>
      </c>
      <c r="B15" s="7"/>
      <c r="C15" s="17"/>
      <c r="D15" s="5"/>
      <c r="E15" s="4"/>
      <c r="F15" s="5"/>
      <c r="G15" s="4"/>
      <c r="H15" s="5"/>
      <c r="I15" s="40"/>
      <c r="J15" s="9"/>
      <c r="K15" s="4"/>
      <c r="L15" s="6"/>
      <c r="M15" s="6"/>
      <c r="N15" s="6"/>
      <c r="O15" s="6"/>
    </row>
    <row r="16" spans="1:15" x14ac:dyDescent="0.2">
      <c r="A16" s="70" t="s">
        <v>275</v>
      </c>
      <c r="B16" s="70"/>
      <c r="C16" s="17" t="s">
        <v>125</v>
      </c>
      <c r="D16" s="5">
        <v>1890</v>
      </c>
      <c r="E16" s="4">
        <v>280</v>
      </c>
      <c r="F16" s="5" t="s">
        <v>143</v>
      </c>
      <c r="G16" s="4">
        <v>335</v>
      </c>
      <c r="H16" s="5">
        <v>275</v>
      </c>
      <c r="I16" s="40" t="s">
        <v>144</v>
      </c>
      <c r="J16" s="9" t="s">
        <v>146</v>
      </c>
      <c r="K16" s="4"/>
      <c r="L16" s="6"/>
      <c r="M16" s="6"/>
      <c r="N16" s="6"/>
      <c r="O16" s="6">
        <v>1.327</v>
      </c>
    </row>
    <row r="17" spans="1:15" x14ac:dyDescent="0.2">
      <c r="A17" s="70" t="s">
        <v>276</v>
      </c>
      <c r="B17" s="70"/>
      <c r="C17" s="17" t="s">
        <v>125</v>
      </c>
      <c r="D17" s="5">
        <v>1890</v>
      </c>
      <c r="E17" s="4">
        <v>280</v>
      </c>
      <c r="F17" s="5" t="s">
        <v>143</v>
      </c>
      <c r="G17" s="4">
        <v>335</v>
      </c>
      <c r="H17" s="5">
        <v>275</v>
      </c>
      <c r="I17" s="40" t="s">
        <v>144</v>
      </c>
      <c r="J17" s="9" t="s">
        <v>146</v>
      </c>
      <c r="K17" s="4"/>
      <c r="L17" s="6"/>
      <c r="M17" s="6"/>
      <c r="N17" s="6"/>
      <c r="O17" s="6">
        <v>1.327</v>
      </c>
    </row>
    <row r="18" spans="1:15" x14ac:dyDescent="0.2">
      <c r="A18" s="70" t="s">
        <v>277</v>
      </c>
      <c r="B18" s="70"/>
      <c r="C18" s="17" t="s">
        <v>125</v>
      </c>
      <c r="D18" s="5">
        <v>1890</v>
      </c>
      <c r="E18" s="4">
        <v>280</v>
      </c>
      <c r="F18" s="5" t="s">
        <v>143</v>
      </c>
      <c r="G18" s="4">
        <v>335</v>
      </c>
      <c r="H18" s="5">
        <v>275</v>
      </c>
      <c r="I18" s="40" t="s">
        <v>144</v>
      </c>
      <c r="J18" s="9" t="s">
        <v>146</v>
      </c>
      <c r="K18" s="4"/>
      <c r="L18" s="6"/>
      <c r="M18" s="6"/>
      <c r="N18" s="6"/>
      <c r="O18" s="6">
        <v>1.331</v>
      </c>
    </row>
    <row r="19" spans="1:15" x14ac:dyDescent="0.2">
      <c r="A19" s="70" t="s">
        <v>278</v>
      </c>
      <c r="B19" s="70"/>
      <c r="C19" s="17" t="s">
        <v>142</v>
      </c>
      <c r="D19" s="5">
        <v>1890</v>
      </c>
      <c r="E19" s="4">
        <v>280</v>
      </c>
      <c r="F19" s="5" t="s">
        <v>143</v>
      </c>
      <c r="G19" s="4">
        <v>335</v>
      </c>
      <c r="H19" s="5">
        <v>275</v>
      </c>
      <c r="I19" s="40" t="s">
        <v>145</v>
      </c>
      <c r="J19" s="9" t="s">
        <v>146</v>
      </c>
      <c r="K19" s="4"/>
      <c r="L19" s="6"/>
      <c r="M19" s="6"/>
      <c r="N19" s="6"/>
      <c r="O19" s="6">
        <v>1.3180000000000001</v>
      </c>
    </row>
    <row r="20" spans="1:15" ht="13.5" thickBot="1" x14ac:dyDescent="0.25">
      <c r="A20" s="71" t="s">
        <v>279</v>
      </c>
      <c r="B20" s="71"/>
      <c r="C20" s="52" t="s">
        <v>142</v>
      </c>
      <c r="D20" s="53">
        <v>1890</v>
      </c>
      <c r="E20" s="59">
        <v>280</v>
      </c>
      <c r="F20" s="53" t="s">
        <v>143</v>
      </c>
      <c r="G20" s="59">
        <v>335</v>
      </c>
      <c r="H20" s="53">
        <v>275</v>
      </c>
      <c r="I20" s="60" t="s">
        <v>145</v>
      </c>
      <c r="J20" s="56" t="s">
        <v>146</v>
      </c>
      <c r="K20" s="59"/>
      <c r="L20" s="57"/>
      <c r="M20" s="57"/>
      <c r="N20" s="57"/>
      <c r="O20" s="57">
        <v>1.3180000000000001</v>
      </c>
    </row>
  </sheetData>
  <mergeCells count="2">
    <mergeCell ref="A1:J2"/>
    <mergeCell ref="K1:O2"/>
  </mergeCells>
  <phoneticPr fontId="14" type="noConversion"/>
  <printOptions gridLines="1"/>
  <pageMargins left="0.49" right="0.57999999999999996" top="0.98425196850393704" bottom="0.98425196850393704" header="0.51181102362204722" footer="0.51181102362204722"/>
  <pageSetup paperSize="9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6"/>
  <dimension ref="A1:O13"/>
  <sheetViews>
    <sheetView workbookViewId="0">
      <selection activeCell="K4" sqref="K4"/>
    </sheetView>
  </sheetViews>
  <sheetFormatPr defaultRowHeight="12.75" x14ac:dyDescent="0.2"/>
  <cols>
    <col min="1" max="1" width="14.140625" customWidth="1"/>
    <col min="2" max="2" width="5.42578125" customWidth="1"/>
    <col min="3" max="3" width="7.85546875" customWidth="1"/>
    <col min="5" max="5" width="6.7109375" customWidth="1"/>
    <col min="15" max="15" width="10.7109375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10</v>
      </c>
      <c r="O3" s="26" t="s">
        <v>134</v>
      </c>
    </row>
    <row r="4" spans="1:15" ht="13.5" thickBot="1" x14ac:dyDescent="0.25">
      <c r="A4" s="47"/>
      <c r="B4" s="61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3"/>
    </row>
    <row r="5" spans="1:15" x14ac:dyDescent="0.2">
      <c r="A5" s="7" t="s">
        <v>69</v>
      </c>
      <c r="B5" s="22"/>
      <c r="C5" s="17"/>
      <c r="D5" s="5"/>
      <c r="E5" s="4"/>
      <c r="F5" s="5"/>
      <c r="G5" s="4"/>
      <c r="H5" s="5"/>
      <c r="I5" s="11"/>
      <c r="J5" s="8"/>
      <c r="K5" s="6"/>
      <c r="L5" s="6"/>
      <c r="M5" s="6"/>
      <c r="N5" s="4"/>
      <c r="O5" s="6"/>
    </row>
    <row r="6" spans="1:15" x14ac:dyDescent="0.2">
      <c r="A6" s="7" t="s">
        <v>31</v>
      </c>
      <c r="B6" s="22"/>
      <c r="C6" s="17">
        <v>1887.99</v>
      </c>
      <c r="D6" s="5" t="s">
        <v>29</v>
      </c>
      <c r="E6" s="4">
        <v>279.39999999999998</v>
      </c>
      <c r="F6" s="5">
        <v>281</v>
      </c>
      <c r="G6" s="4">
        <v>334.98</v>
      </c>
      <c r="H6" s="5">
        <v>335</v>
      </c>
      <c r="I6" s="11" t="s">
        <v>30</v>
      </c>
      <c r="J6" s="9" t="s">
        <v>30</v>
      </c>
      <c r="K6" s="6"/>
      <c r="L6" s="6"/>
      <c r="M6" s="6"/>
      <c r="N6" s="4" t="s">
        <v>32</v>
      </c>
      <c r="O6" s="6" t="s">
        <v>33</v>
      </c>
    </row>
    <row r="7" spans="1:15" x14ac:dyDescent="0.2">
      <c r="A7" s="7" t="s">
        <v>34</v>
      </c>
      <c r="B7" s="22"/>
      <c r="C7" s="17">
        <v>1887.99</v>
      </c>
      <c r="D7" s="5" t="s">
        <v>29</v>
      </c>
      <c r="E7" s="4">
        <v>279.39999999999998</v>
      </c>
      <c r="F7" s="5">
        <v>281</v>
      </c>
      <c r="G7" s="4">
        <v>334.98</v>
      </c>
      <c r="H7" s="5">
        <v>335</v>
      </c>
      <c r="I7" s="11" t="s">
        <v>30</v>
      </c>
      <c r="J7" s="9" t="s">
        <v>30</v>
      </c>
      <c r="K7" s="6"/>
      <c r="L7" s="6"/>
      <c r="M7" s="6"/>
      <c r="N7" s="4" t="s">
        <v>32</v>
      </c>
      <c r="O7" s="6" t="s">
        <v>33</v>
      </c>
    </row>
    <row r="8" spans="1:15" x14ac:dyDescent="0.2">
      <c r="A8" s="7" t="s">
        <v>35</v>
      </c>
      <c r="B8" s="22"/>
      <c r="C8" s="17">
        <v>1887.99</v>
      </c>
      <c r="D8" s="5" t="s">
        <v>29</v>
      </c>
      <c r="E8" s="4">
        <v>279.39999999999998</v>
      </c>
      <c r="F8" s="5">
        <v>281</v>
      </c>
      <c r="G8" s="4">
        <v>334.98</v>
      </c>
      <c r="H8" s="5">
        <v>335</v>
      </c>
      <c r="I8" s="11" t="s">
        <v>30</v>
      </c>
      <c r="J8" s="9" t="s">
        <v>30</v>
      </c>
      <c r="K8" s="6"/>
      <c r="L8" s="6"/>
      <c r="M8" s="6"/>
      <c r="N8" s="4" t="s">
        <v>32</v>
      </c>
      <c r="O8" s="6" t="s">
        <v>33</v>
      </c>
    </row>
    <row r="9" spans="1:15" ht="15" x14ac:dyDescent="0.2">
      <c r="A9" s="7"/>
      <c r="B9" s="22"/>
      <c r="C9" s="17"/>
      <c r="D9" s="5"/>
      <c r="E9" s="4"/>
      <c r="F9" s="5"/>
      <c r="G9" s="4"/>
      <c r="H9" s="5"/>
      <c r="I9" s="14"/>
      <c r="J9" s="5"/>
      <c r="K9" s="6"/>
      <c r="L9" s="6"/>
      <c r="M9" s="6"/>
      <c r="N9" s="4"/>
      <c r="O9" s="6"/>
    </row>
    <row r="10" spans="1:15" x14ac:dyDescent="0.2">
      <c r="A10" s="7" t="s">
        <v>76</v>
      </c>
      <c r="B10" s="22"/>
      <c r="C10" s="17">
        <v>1890</v>
      </c>
      <c r="D10" s="5" t="s">
        <v>29</v>
      </c>
      <c r="E10" s="4">
        <v>370.8</v>
      </c>
      <c r="F10" s="5">
        <v>281</v>
      </c>
      <c r="G10" s="4">
        <v>425</v>
      </c>
      <c r="H10" s="5">
        <v>335</v>
      </c>
      <c r="I10" s="15" t="s">
        <v>80</v>
      </c>
      <c r="J10" s="9" t="s">
        <v>30</v>
      </c>
      <c r="K10" s="6"/>
      <c r="L10" s="6"/>
      <c r="M10" s="6"/>
      <c r="N10" s="4"/>
      <c r="O10" s="6">
        <v>1.32</v>
      </c>
    </row>
    <row r="11" spans="1:15" x14ac:dyDescent="0.2">
      <c r="A11" s="7" t="s">
        <v>77</v>
      </c>
      <c r="B11" s="22"/>
      <c r="C11" s="17">
        <v>1890</v>
      </c>
      <c r="D11" s="5" t="s">
        <v>29</v>
      </c>
      <c r="E11" s="4">
        <v>370.8</v>
      </c>
      <c r="F11" s="5">
        <v>281</v>
      </c>
      <c r="G11" s="4">
        <v>425</v>
      </c>
      <c r="H11" s="5">
        <v>335</v>
      </c>
      <c r="I11" s="15" t="s">
        <v>80</v>
      </c>
      <c r="J11" s="9" t="s">
        <v>30</v>
      </c>
      <c r="K11" s="6"/>
      <c r="L11" s="6"/>
      <c r="M11" s="6"/>
      <c r="N11" s="4"/>
      <c r="O11" s="6">
        <v>1.3420000000000001</v>
      </c>
    </row>
    <row r="12" spans="1:15" x14ac:dyDescent="0.2">
      <c r="A12" s="7" t="s">
        <v>78</v>
      </c>
      <c r="B12" s="22"/>
      <c r="C12" s="17">
        <v>1890</v>
      </c>
      <c r="D12" s="5" t="s">
        <v>29</v>
      </c>
      <c r="E12" s="4">
        <v>370.8</v>
      </c>
      <c r="F12" s="5">
        <v>281</v>
      </c>
      <c r="G12" s="4">
        <v>425</v>
      </c>
      <c r="H12" s="5">
        <v>335</v>
      </c>
      <c r="I12" s="15" t="s">
        <v>80</v>
      </c>
      <c r="J12" s="9" t="s">
        <v>30</v>
      </c>
      <c r="K12" s="6"/>
      <c r="L12" s="6"/>
      <c r="M12" s="6"/>
      <c r="N12" s="4"/>
      <c r="O12" s="6">
        <v>1.3420000000000001</v>
      </c>
    </row>
    <row r="13" spans="1:15" ht="13.5" thickBot="1" x14ac:dyDescent="0.25">
      <c r="A13" s="58" t="s">
        <v>79</v>
      </c>
      <c r="B13" s="76"/>
      <c r="C13" s="52">
        <v>1890</v>
      </c>
      <c r="D13" s="53" t="s">
        <v>29</v>
      </c>
      <c r="E13" s="59">
        <v>370.8</v>
      </c>
      <c r="F13" s="53">
        <v>281</v>
      </c>
      <c r="G13" s="59">
        <v>425</v>
      </c>
      <c r="H13" s="53">
        <v>335</v>
      </c>
      <c r="I13" s="77" t="s">
        <v>80</v>
      </c>
      <c r="J13" s="56" t="s">
        <v>30</v>
      </c>
      <c r="K13" s="57"/>
      <c r="L13" s="57"/>
      <c r="M13" s="57"/>
      <c r="N13" s="59"/>
      <c r="O13" s="57">
        <v>1.3420000000000001</v>
      </c>
    </row>
  </sheetData>
  <sheetProtection password="D243" sheet="1" objects="1" scenarios="1"/>
  <mergeCells count="2">
    <mergeCell ref="A1:J2"/>
    <mergeCell ref="K1:O2"/>
  </mergeCells>
  <phoneticPr fontId="14" type="noConversion"/>
  <printOptions gridLines="1"/>
  <pageMargins left="0.32" right="0.43" top="1" bottom="1" header="0.5" footer="0.5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7"/>
  <dimension ref="A1:AC24"/>
  <sheetViews>
    <sheetView zoomScaleNormal="100" workbookViewId="0">
      <selection sqref="A1:O24"/>
    </sheetView>
  </sheetViews>
  <sheetFormatPr defaultColWidth="10" defaultRowHeight="15" x14ac:dyDescent="0.2"/>
  <cols>
    <col min="1" max="1" width="20.42578125" style="1" customWidth="1"/>
    <col min="2" max="2" width="7.140625" style="1" customWidth="1"/>
    <col min="3" max="3" width="6.7109375" style="16" customWidth="1"/>
    <col min="4" max="4" width="8.7109375" style="1" customWidth="1"/>
    <col min="5" max="5" width="6" style="1" customWidth="1"/>
    <col min="6" max="6" width="8.85546875" style="1" customWidth="1"/>
    <col min="7" max="7" width="6.5703125" style="1" customWidth="1"/>
    <col min="8" max="8" width="8.5703125" style="1" customWidth="1"/>
    <col min="9" max="9" width="8.140625" style="14" customWidth="1"/>
    <col min="10" max="10" width="8.85546875" style="1" customWidth="1"/>
    <col min="11" max="11" width="12" style="1" customWidth="1"/>
    <col min="12" max="12" width="11.7109375" style="1" customWidth="1"/>
    <col min="13" max="13" width="11.42578125" style="1" customWidth="1"/>
    <col min="14" max="14" width="9.42578125" style="1" customWidth="1"/>
    <col min="15" max="15" width="11.5703125" style="82" customWidth="1"/>
    <col min="16" max="16384" width="10" style="1"/>
  </cols>
  <sheetData>
    <row r="1" spans="1:16" customFormat="1" ht="12.7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6" customFormat="1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6" customFormat="1" ht="16.5" thickBot="1" x14ac:dyDescent="0.3">
      <c r="A3" s="26" t="s">
        <v>2</v>
      </c>
      <c r="B3" s="66" t="s">
        <v>149</v>
      </c>
      <c r="C3" s="28" t="s">
        <v>3</v>
      </c>
      <c r="D3" s="29"/>
      <c r="E3" s="27" t="s">
        <v>4</v>
      </c>
      <c r="F3" s="29"/>
      <c r="G3" s="27" t="s">
        <v>5</v>
      </c>
      <c r="H3" s="29"/>
      <c r="I3" s="30" t="s">
        <v>6</v>
      </c>
      <c r="J3" s="29"/>
      <c r="K3" s="26" t="s">
        <v>7</v>
      </c>
      <c r="L3" s="26" t="s">
        <v>8</v>
      </c>
      <c r="M3" s="26" t="s">
        <v>9</v>
      </c>
      <c r="N3" s="27" t="s">
        <v>2</v>
      </c>
      <c r="O3" s="79" t="s">
        <v>134</v>
      </c>
    </row>
    <row r="4" spans="1:16" customFormat="1" ht="13.5" thickBot="1" x14ac:dyDescent="0.25">
      <c r="A4" s="47"/>
      <c r="B4" s="61"/>
      <c r="C4" s="49" t="s">
        <v>11</v>
      </c>
      <c r="D4" s="29" t="s">
        <v>12</v>
      </c>
      <c r="E4" s="50" t="s">
        <v>11</v>
      </c>
      <c r="F4" s="29" t="s">
        <v>12</v>
      </c>
      <c r="G4" s="50" t="s">
        <v>11</v>
      </c>
      <c r="H4" s="29" t="s">
        <v>12</v>
      </c>
      <c r="I4" s="51" t="s">
        <v>11</v>
      </c>
      <c r="J4" s="29" t="s">
        <v>12</v>
      </c>
      <c r="K4" s="31"/>
      <c r="L4" s="3"/>
      <c r="M4" s="31"/>
      <c r="N4" s="31"/>
      <c r="O4" s="80"/>
    </row>
    <row r="5" spans="1:16" s="2" customFormat="1" ht="12.75" x14ac:dyDescent="0.2">
      <c r="A5" s="22" t="s">
        <v>91</v>
      </c>
      <c r="B5" s="67"/>
      <c r="C5" s="16">
        <v>1882</v>
      </c>
      <c r="D5" s="5" t="s">
        <v>114</v>
      </c>
      <c r="E5" s="4">
        <v>281.18</v>
      </c>
      <c r="F5" s="5"/>
      <c r="G5" s="4">
        <v>335</v>
      </c>
      <c r="H5" s="5">
        <v>335</v>
      </c>
      <c r="I5" s="15" t="s">
        <v>95</v>
      </c>
      <c r="J5" s="15" t="s">
        <v>90</v>
      </c>
      <c r="K5" s="6"/>
      <c r="L5" s="6"/>
      <c r="M5" s="6"/>
      <c r="N5" s="4"/>
      <c r="O5" s="81">
        <v>1.3228</v>
      </c>
      <c r="P5" s="1"/>
    </row>
    <row r="6" spans="1:16" s="2" customFormat="1" ht="12.75" x14ac:dyDescent="0.2">
      <c r="A6" s="22" t="s">
        <v>92</v>
      </c>
      <c r="B6" s="7"/>
      <c r="C6" s="16">
        <v>1882</v>
      </c>
      <c r="D6" s="5" t="s">
        <v>114</v>
      </c>
      <c r="E6" s="4">
        <v>281.18</v>
      </c>
      <c r="F6" s="5"/>
      <c r="G6" s="4">
        <v>335</v>
      </c>
      <c r="H6" s="5">
        <v>335</v>
      </c>
      <c r="I6" s="15" t="s">
        <v>95</v>
      </c>
      <c r="J6" s="15" t="s">
        <v>90</v>
      </c>
      <c r="K6" s="6"/>
      <c r="L6" s="6"/>
      <c r="M6" s="6"/>
      <c r="N6" s="4"/>
      <c r="O6" s="81">
        <v>1.3228</v>
      </c>
      <c r="P6" s="1"/>
    </row>
    <row r="7" spans="1:16" s="2" customFormat="1" ht="12.75" x14ac:dyDescent="0.2">
      <c r="A7" s="83" t="s">
        <v>93</v>
      </c>
      <c r="B7" s="7"/>
      <c r="C7" s="17">
        <v>1882</v>
      </c>
      <c r="D7" s="5" t="s">
        <v>114</v>
      </c>
      <c r="E7" s="1">
        <v>371.35</v>
      </c>
      <c r="F7" s="5"/>
      <c r="G7" s="1">
        <v>425</v>
      </c>
      <c r="H7" s="5">
        <v>335</v>
      </c>
      <c r="I7" s="15" t="s">
        <v>96</v>
      </c>
      <c r="J7" s="85" t="s">
        <v>90</v>
      </c>
      <c r="K7" s="1"/>
      <c r="L7" s="6"/>
      <c r="M7" s="1"/>
      <c r="N7" s="6"/>
      <c r="O7" s="86">
        <v>1.3222</v>
      </c>
      <c r="P7" s="1"/>
    </row>
    <row r="8" spans="1:16" s="2" customFormat="1" ht="12.75" x14ac:dyDescent="0.2">
      <c r="A8" s="83" t="s">
        <v>94</v>
      </c>
      <c r="B8" s="7"/>
      <c r="C8" s="17">
        <v>1882</v>
      </c>
      <c r="D8" s="5" t="s">
        <v>114</v>
      </c>
      <c r="E8" s="1">
        <v>371.3</v>
      </c>
      <c r="F8" s="5"/>
      <c r="G8" s="1">
        <v>425</v>
      </c>
      <c r="H8" s="5">
        <v>335</v>
      </c>
      <c r="I8" s="15" t="s">
        <v>96</v>
      </c>
      <c r="J8" s="85" t="s">
        <v>90</v>
      </c>
      <c r="K8" s="1"/>
      <c r="L8" s="6"/>
      <c r="M8" s="1"/>
      <c r="N8" s="6"/>
      <c r="O8" s="86">
        <v>1.325</v>
      </c>
      <c r="P8" s="1"/>
    </row>
    <row r="9" spans="1:16" x14ac:dyDescent="0.2">
      <c r="A9" s="84"/>
      <c r="B9" s="6"/>
      <c r="C9" s="17"/>
      <c r="D9" s="5"/>
      <c r="F9" s="5"/>
      <c r="H9" s="5"/>
      <c r="J9" s="5"/>
      <c r="L9" s="6"/>
      <c r="N9" s="6"/>
      <c r="O9" s="86"/>
    </row>
    <row r="10" spans="1:16" ht="12.75" x14ac:dyDescent="0.2">
      <c r="A10" s="22" t="s">
        <v>164</v>
      </c>
      <c r="B10" s="7"/>
      <c r="C10" s="16">
        <v>1882</v>
      </c>
      <c r="D10" s="5" t="s">
        <v>114</v>
      </c>
      <c r="E10" s="4">
        <v>371.4</v>
      </c>
      <c r="F10" s="5"/>
      <c r="G10" s="4">
        <v>335</v>
      </c>
      <c r="H10" s="5">
        <v>335</v>
      </c>
      <c r="I10" s="15" t="s">
        <v>95</v>
      </c>
      <c r="J10" s="15" t="s">
        <v>90</v>
      </c>
      <c r="K10" s="6"/>
      <c r="L10" s="6"/>
      <c r="M10" s="6"/>
      <c r="N10" s="4"/>
      <c r="O10" s="81">
        <v>1.3228</v>
      </c>
    </row>
    <row r="11" spans="1:16" ht="12.75" x14ac:dyDescent="0.2">
      <c r="A11" s="22" t="s">
        <v>165</v>
      </c>
      <c r="B11" s="7"/>
      <c r="C11" s="16">
        <v>1882</v>
      </c>
      <c r="D11" s="5" t="s">
        <v>114</v>
      </c>
      <c r="E11" s="4">
        <v>371.35</v>
      </c>
      <c r="F11" s="5"/>
      <c r="G11" s="4">
        <v>425</v>
      </c>
      <c r="H11" s="5">
        <v>335</v>
      </c>
      <c r="I11" s="15" t="s">
        <v>96</v>
      </c>
      <c r="J11" s="15" t="s">
        <v>90</v>
      </c>
      <c r="K11" s="6"/>
      <c r="L11" s="6"/>
      <c r="M11" s="6"/>
      <c r="N11" s="4"/>
      <c r="O11" s="81">
        <v>1.3222</v>
      </c>
    </row>
    <row r="12" spans="1:16" ht="12.75" x14ac:dyDescent="0.2">
      <c r="A12" s="22" t="s">
        <v>166</v>
      </c>
      <c r="B12" s="7"/>
      <c r="C12" s="16">
        <v>1882</v>
      </c>
      <c r="D12" s="5" t="s">
        <v>114</v>
      </c>
      <c r="E12" s="4">
        <v>371.35</v>
      </c>
      <c r="F12" s="5"/>
      <c r="G12" s="4">
        <v>425</v>
      </c>
      <c r="H12" s="5">
        <v>335</v>
      </c>
      <c r="I12" s="15" t="s">
        <v>96</v>
      </c>
      <c r="J12" s="15" t="s">
        <v>90</v>
      </c>
      <c r="K12" s="6"/>
      <c r="L12" s="6"/>
      <c r="M12" s="6"/>
      <c r="N12" s="4"/>
      <c r="O12" s="81">
        <v>1.325</v>
      </c>
    </row>
    <row r="13" spans="1:16" ht="12.75" x14ac:dyDescent="0.2">
      <c r="A13" s="22" t="s">
        <v>244</v>
      </c>
      <c r="C13" s="16">
        <v>1882</v>
      </c>
      <c r="D13" s="5" t="s">
        <v>114</v>
      </c>
      <c r="E13" s="4">
        <v>371.35</v>
      </c>
      <c r="F13" s="69"/>
      <c r="G13" s="4">
        <v>425</v>
      </c>
      <c r="H13" s="5">
        <v>335</v>
      </c>
      <c r="I13" s="15" t="s">
        <v>242</v>
      </c>
      <c r="J13" s="15" t="s">
        <v>243</v>
      </c>
      <c r="O13" s="81">
        <v>1.325</v>
      </c>
    </row>
    <row r="14" spans="1:16" x14ac:dyDescent="0.2">
      <c r="F14" s="69"/>
      <c r="G14" s="69"/>
      <c r="H14" s="69"/>
    </row>
    <row r="15" spans="1:16" x14ac:dyDescent="0.2">
      <c r="F15" s="69"/>
      <c r="G15" s="69"/>
      <c r="H15" s="69"/>
    </row>
    <row r="16" spans="1:16" x14ac:dyDescent="0.2">
      <c r="A16" s="1" t="s">
        <v>344</v>
      </c>
      <c r="D16" s="1" t="s">
        <v>351</v>
      </c>
      <c r="E16" s="4">
        <v>371.4</v>
      </c>
      <c r="F16" s="69"/>
      <c r="G16" s="69"/>
      <c r="H16" s="69"/>
      <c r="I16" s="14" t="s">
        <v>356</v>
      </c>
      <c r="N16" s="1" t="s">
        <v>349</v>
      </c>
      <c r="O16" s="82">
        <v>1.3321000000000001</v>
      </c>
    </row>
    <row r="17" spans="1:29" x14ac:dyDescent="0.2">
      <c r="A17" s="1" t="s">
        <v>344</v>
      </c>
      <c r="D17" s="1" t="s">
        <v>351</v>
      </c>
      <c r="E17" s="4">
        <v>371.4</v>
      </c>
      <c r="I17" s="14" t="s">
        <v>356</v>
      </c>
      <c r="N17" s="1" t="s">
        <v>350</v>
      </c>
      <c r="O17" s="82">
        <v>1.3228</v>
      </c>
    </row>
    <row r="18" spans="1:29" x14ac:dyDescent="0.2">
      <c r="A18" s="1" t="s">
        <v>345</v>
      </c>
      <c r="D18" s="1" t="s">
        <v>351</v>
      </c>
      <c r="E18" s="4">
        <v>371.35</v>
      </c>
      <c r="I18" s="14" t="s">
        <v>356</v>
      </c>
      <c r="N18" s="1" t="s">
        <v>349</v>
      </c>
      <c r="O18" s="82">
        <v>1.3221000000000001</v>
      </c>
    </row>
    <row r="19" spans="1:29" x14ac:dyDescent="0.2">
      <c r="A19" s="1" t="s">
        <v>345</v>
      </c>
      <c r="D19" s="1" t="s">
        <v>352</v>
      </c>
      <c r="E19" s="4">
        <v>371.35</v>
      </c>
      <c r="I19" s="14" t="s">
        <v>356</v>
      </c>
      <c r="N19" s="1" t="s">
        <v>350</v>
      </c>
      <c r="O19" s="82">
        <v>1.3228</v>
      </c>
    </row>
    <row r="20" spans="1:29" x14ac:dyDescent="0.2">
      <c r="A20" s="1" t="s">
        <v>346</v>
      </c>
      <c r="D20" s="1" t="s">
        <v>348</v>
      </c>
      <c r="E20" s="4">
        <v>371.35</v>
      </c>
      <c r="I20" s="14" t="s">
        <v>356</v>
      </c>
      <c r="N20" s="1" t="s">
        <v>349</v>
      </c>
      <c r="O20" s="82">
        <v>1.325</v>
      </c>
    </row>
    <row r="21" spans="1:29" x14ac:dyDescent="0.2">
      <c r="A21" s="1" t="s">
        <v>346</v>
      </c>
      <c r="D21" s="1" t="s">
        <v>352</v>
      </c>
      <c r="E21" s="4">
        <v>371.35</v>
      </c>
      <c r="I21" s="14" t="s">
        <v>356</v>
      </c>
      <c r="N21" s="1" t="s">
        <v>353</v>
      </c>
      <c r="O21" s="82">
        <v>1.3158000000000001</v>
      </c>
      <c r="S21"/>
      <c r="T21" s="69"/>
      <c r="U21" s="69"/>
      <c r="V21" s="69"/>
      <c r="W21" s="69"/>
      <c r="X21" s="69"/>
      <c r="Y21" s="69"/>
      <c r="Z21" s="69"/>
      <c r="AA21" s="69"/>
      <c r="AB21" s="69"/>
      <c r="AC21" s="69"/>
    </row>
    <row r="22" spans="1:29" x14ac:dyDescent="0.2">
      <c r="A22" s="1" t="s">
        <v>347</v>
      </c>
      <c r="D22" s="1" t="s">
        <v>352</v>
      </c>
      <c r="E22" s="4">
        <v>371.35</v>
      </c>
      <c r="I22" s="14" t="s">
        <v>356</v>
      </c>
      <c r="N22" s="1" t="s">
        <v>349</v>
      </c>
      <c r="O22" s="82">
        <v>1.325</v>
      </c>
    </row>
    <row r="23" spans="1:29" x14ac:dyDescent="0.2">
      <c r="A23" s="1" t="s">
        <v>355</v>
      </c>
      <c r="D23" s="1" t="s">
        <v>352</v>
      </c>
      <c r="E23" s="4">
        <v>371.35</v>
      </c>
      <c r="I23" s="14" t="s">
        <v>356</v>
      </c>
      <c r="N23" s="1" t="s">
        <v>353</v>
      </c>
      <c r="O23" s="82">
        <v>1.3158000000000001</v>
      </c>
    </row>
    <row r="24" spans="1:29" x14ac:dyDescent="0.2">
      <c r="A24" s="1" t="s">
        <v>354</v>
      </c>
      <c r="D24" s="1" t="s">
        <v>352</v>
      </c>
      <c r="E24" s="4">
        <v>371.35</v>
      </c>
      <c r="I24" s="14" t="s">
        <v>356</v>
      </c>
      <c r="N24" s="1" t="s">
        <v>353</v>
      </c>
      <c r="O24" s="82">
        <v>1.3158000000000001</v>
      </c>
    </row>
  </sheetData>
  <sheetProtection password="D243" sheet="1" objects="1" scenarios="1"/>
  <mergeCells count="2">
    <mergeCell ref="A1:J2"/>
    <mergeCell ref="K1:O2"/>
  </mergeCells>
  <phoneticPr fontId="0" type="noConversion"/>
  <printOptions horizontalCentered="1" verticalCentered="1"/>
  <pageMargins left="0.19685039370078741" right="0" top="0.82677165354330717" bottom="0.78740157480314965" header="0.51181102362204722" footer="0.51181102362204722"/>
  <pageSetup paperSize="9" orientation="landscape" horizontalDpi="4294967292" r:id="rId1"/>
  <headerFooter alignWithMargins="0">
    <oddHeader>&amp;C&amp;"MS Sans Serif,Italic"&amp;12 4 wiel aandrijffactoren en as/ naaf maten</oddHeader>
    <oddFooter>&amp;L&amp;F&amp;C&amp;"MS Sans Serif,Italic"alle 40 km/uur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8"/>
  <dimension ref="A1:O20"/>
  <sheetViews>
    <sheetView workbookViewId="0">
      <selection activeCell="K15" sqref="K15"/>
    </sheetView>
  </sheetViews>
  <sheetFormatPr defaultRowHeight="12.75" x14ac:dyDescent="0.2"/>
  <cols>
    <col min="3" max="3" width="15.5703125" bestFit="1" customWidth="1"/>
    <col min="15" max="15" width="16.5703125" bestFit="1" customWidth="1"/>
  </cols>
  <sheetData>
    <row r="1" spans="1:15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271" t="s">
        <v>1</v>
      </c>
      <c r="L1" s="272"/>
      <c r="M1" s="272"/>
      <c r="N1" s="272"/>
      <c r="O1" s="273"/>
    </row>
    <row r="2" spans="1:15" ht="13.5" thickBot="1" x14ac:dyDescent="0.25">
      <c r="A2" s="268"/>
      <c r="B2" s="269"/>
      <c r="C2" s="269"/>
      <c r="D2" s="269"/>
      <c r="E2" s="269"/>
      <c r="F2" s="269"/>
      <c r="G2" s="269"/>
      <c r="H2" s="269"/>
      <c r="I2" s="269"/>
      <c r="J2" s="270"/>
      <c r="K2" s="274"/>
      <c r="L2" s="275"/>
      <c r="M2" s="275"/>
      <c r="N2" s="275"/>
      <c r="O2" s="276"/>
    </row>
    <row r="3" spans="1:15" ht="15.75" x14ac:dyDescent="0.25">
      <c r="A3" s="232" t="s">
        <v>2</v>
      </c>
      <c r="B3" s="257" t="s">
        <v>149</v>
      </c>
      <c r="C3" s="258" t="s">
        <v>3</v>
      </c>
      <c r="D3" s="3"/>
      <c r="E3" s="233" t="s">
        <v>4</v>
      </c>
      <c r="F3" s="3"/>
      <c r="G3" s="233" t="s">
        <v>5</v>
      </c>
      <c r="H3" s="3"/>
      <c r="I3" s="259" t="s">
        <v>6</v>
      </c>
      <c r="J3" s="3"/>
      <c r="K3" s="232" t="s">
        <v>7</v>
      </c>
      <c r="L3" s="232" t="s">
        <v>8</v>
      </c>
      <c r="M3" s="232" t="s">
        <v>9</v>
      </c>
      <c r="N3" s="233" t="s">
        <v>2</v>
      </c>
      <c r="O3" s="260" t="s">
        <v>134</v>
      </c>
    </row>
    <row r="4" spans="1:15" x14ac:dyDescent="0.2">
      <c r="A4" s="197"/>
      <c r="B4" s="208"/>
      <c r="C4" s="196" t="s">
        <v>612</v>
      </c>
      <c r="D4" s="197" t="s">
        <v>12</v>
      </c>
      <c r="E4" s="197" t="s">
        <v>11</v>
      </c>
      <c r="F4" s="197" t="s">
        <v>12</v>
      </c>
      <c r="G4" s="197" t="s">
        <v>11</v>
      </c>
      <c r="H4" s="197" t="s">
        <v>12</v>
      </c>
      <c r="I4" s="198" t="s">
        <v>11</v>
      </c>
      <c r="J4" s="197" t="s">
        <v>12</v>
      </c>
      <c r="K4" s="197"/>
      <c r="L4" s="197"/>
      <c r="M4" s="197"/>
      <c r="N4" s="197"/>
      <c r="O4" s="254"/>
    </row>
    <row r="5" spans="1:15" ht="15" x14ac:dyDescent="0.2">
      <c r="A5" s="197"/>
      <c r="B5" s="197"/>
      <c r="C5" s="196"/>
      <c r="D5" s="197"/>
      <c r="E5" s="197"/>
      <c r="F5" s="197"/>
      <c r="G5" s="197"/>
      <c r="H5" s="197"/>
      <c r="I5" s="253"/>
      <c r="J5" s="197"/>
      <c r="K5" s="197"/>
      <c r="L5" s="197"/>
      <c r="M5" s="197"/>
      <c r="N5" s="197"/>
      <c r="O5" s="254"/>
    </row>
    <row r="6" spans="1:15" x14ac:dyDescent="0.2">
      <c r="A6" s="195" t="s">
        <v>607</v>
      </c>
      <c r="B6" s="195"/>
      <c r="C6" s="196" t="s">
        <v>613</v>
      </c>
      <c r="D6" s="197" t="s">
        <v>114</v>
      </c>
      <c r="E6" s="197" t="s">
        <v>614</v>
      </c>
      <c r="F6" s="197"/>
      <c r="G6" s="197">
        <v>425</v>
      </c>
      <c r="H6" s="197">
        <v>335</v>
      </c>
      <c r="I6" s="196" t="s">
        <v>96</v>
      </c>
      <c r="J6" s="255" t="s">
        <v>90</v>
      </c>
      <c r="K6" s="197"/>
      <c r="L6" s="197"/>
      <c r="M6" s="197"/>
      <c r="N6" s="197"/>
      <c r="O6" s="254" t="s">
        <v>615</v>
      </c>
    </row>
    <row r="7" spans="1:15" x14ac:dyDescent="0.2">
      <c r="A7" s="195" t="s">
        <v>608</v>
      </c>
      <c r="B7" s="195"/>
      <c r="C7" s="196" t="s">
        <v>613</v>
      </c>
      <c r="D7" s="197" t="s">
        <v>114</v>
      </c>
      <c r="E7" s="197" t="s">
        <v>614</v>
      </c>
      <c r="F7" s="197"/>
      <c r="G7" s="197">
        <v>425</v>
      </c>
      <c r="H7" s="197">
        <v>335</v>
      </c>
      <c r="I7" s="255" t="s">
        <v>96</v>
      </c>
      <c r="J7" s="255" t="s">
        <v>90</v>
      </c>
      <c r="K7" s="197"/>
      <c r="L7" s="197"/>
      <c r="M7" s="197"/>
      <c r="N7" s="197"/>
      <c r="O7" s="254" t="s">
        <v>615</v>
      </c>
    </row>
    <row r="8" spans="1:15" x14ac:dyDescent="0.2">
      <c r="A8" s="195" t="s">
        <v>609</v>
      </c>
      <c r="B8" s="195"/>
      <c r="C8" s="196" t="s">
        <v>613</v>
      </c>
      <c r="D8" s="197" t="s">
        <v>114</v>
      </c>
      <c r="E8" s="197" t="s">
        <v>614</v>
      </c>
      <c r="F8" s="197"/>
      <c r="G8" s="197">
        <v>425</v>
      </c>
      <c r="H8" s="197">
        <v>335</v>
      </c>
      <c r="I8" s="255" t="s">
        <v>96</v>
      </c>
      <c r="J8" s="255" t="s">
        <v>90</v>
      </c>
      <c r="K8" s="197"/>
      <c r="L8" s="197"/>
      <c r="M8" s="197"/>
      <c r="N8" s="197"/>
      <c r="O8" s="254" t="s">
        <v>615</v>
      </c>
    </row>
    <row r="9" spans="1:15" x14ac:dyDescent="0.2">
      <c r="A9" s="195" t="s">
        <v>610</v>
      </c>
      <c r="B9" s="197"/>
      <c r="C9" s="196" t="s">
        <v>613</v>
      </c>
      <c r="D9" s="197" t="s">
        <v>114</v>
      </c>
      <c r="E9" s="197" t="s">
        <v>614</v>
      </c>
      <c r="F9" s="256"/>
      <c r="G9" s="197">
        <v>425</v>
      </c>
      <c r="H9" s="197">
        <v>335</v>
      </c>
      <c r="I9" s="196" t="s">
        <v>96</v>
      </c>
      <c r="J9" s="255" t="s">
        <v>243</v>
      </c>
      <c r="K9" s="197"/>
      <c r="L9" s="197"/>
      <c r="M9" s="197"/>
      <c r="N9" s="197"/>
      <c r="O9" s="254" t="s">
        <v>615</v>
      </c>
    </row>
    <row r="10" spans="1:15" x14ac:dyDescent="0.2">
      <c r="A10" s="195" t="s">
        <v>611</v>
      </c>
      <c r="B10" s="197"/>
      <c r="C10" s="196" t="s">
        <v>613</v>
      </c>
      <c r="D10" s="197" t="s">
        <v>114</v>
      </c>
      <c r="E10" s="197" t="s">
        <v>614</v>
      </c>
      <c r="F10" s="256"/>
      <c r="G10" s="197">
        <v>425</v>
      </c>
      <c r="H10" s="197">
        <v>335</v>
      </c>
      <c r="I10" s="197" t="s">
        <v>96</v>
      </c>
      <c r="J10" s="255" t="s">
        <v>243</v>
      </c>
      <c r="K10" s="197"/>
      <c r="L10" s="197"/>
      <c r="M10" s="197"/>
      <c r="N10" s="197"/>
      <c r="O10" s="254" t="s">
        <v>615</v>
      </c>
    </row>
    <row r="11" spans="1:15" x14ac:dyDescent="0.2">
      <c r="A11" s="197"/>
      <c r="B11" s="197"/>
      <c r="C11" s="196"/>
      <c r="D11" s="197"/>
      <c r="E11" s="197"/>
      <c r="F11" s="256"/>
      <c r="G11" s="197"/>
      <c r="H11" s="197"/>
      <c r="I11" s="197"/>
      <c r="J11" s="197"/>
      <c r="K11" s="197"/>
      <c r="L11" s="197"/>
      <c r="M11" s="197"/>
      <c r="N11" s="197"/>
      <c r="O11" s="254"/>
    </row>
    <row r="12" spans="1:15" ht="15" x14ac:dyDescent="0.2">
      <c r="A12" s="1"/>
      <c r="B12" s="1"/>
      <c r="C12" s="16"/>
      <c r="D12" s="1"/>
      <c r="E12" s="1"/>
      <c r="F12" s="69"/>
      <c r="G12" s="69"/>
      <c r="H12" s="69"/>
      <c r="I12" s="14"/>
      <c r="J12" s="1"/>
      <c r="K12" s="1"/>
      <c r="L12" s="1"/>
      <c r="M12" s="1"/>
      <c r="N12" s="1"/>
      <c r="O12" s="82"/>
    </row>
    <row r="13" spans="1:15" ht="15" x14ac:dyDescent="0.2">
      <c r="A13" s="1"/>
      <c r="B13" s="1"/>
      <c r="C13" s="16"/>
      <c r="D13" s="1"/>
      <c r="E13" s="1"/>
      <c r="F13" s="1"/>
      <c r="G13" s="1"/>
      <c r="H13" s="1"/>
      <c r="I13" s="14"/>
      <c r="J13" s="1"/>
      <c r="K13" s="1"/>
      <c r="L13" s="1"/>
      <c r="M13" s="1"/>
      <c r="N13" s="1"/>
      <c r="O13" s="82"/>
    </row>
    <row r="14" spans="1:15" ht="15" x14ac:dyDescent="0.2">
      <c r="A14" s="1"/>
      <c r="B14" s="1"/>
      <c r="C14" s="16"/>
      <c r="D14" s="1"/>
      <c r="E14" s="1"/>
      <c r="F14" s="1"/>
      <c r="G14" s="1"/>
      <c r="H14" s="1"/>
      <c r="I14" s="14"/>
      <c r="J14" s="1"/>
      <c r="K14" s="1"/>
      <c r="L14" s="1"/>
      <c r="M14" s="1"/>
      <c r="N14" s="1"/>
      <c r="O14" s="82"/>
    </row>
    <row r="15" spans="1:15" ht="15" x14ac:dyDescent="0.2">
      <c r="A15" s="1"/>
      <c r="B15" s="1"/>
      <c r="C15" s="16"/>
      <c r="D15" s="1"/>
      <c r="E15" s="1"/>
      <c r="F15" s="1"/>
      <c r="G15" s="1"/>
      <c r="H15" s="1"/>
      <c r="I15" s="14"/>
      <c r="J15" s="1"/>
      <c r="K15" s="1"/>
      <c r="L15" s="1"/>
      <c r="M15" s="1"/>
      <c r="N15" s="1"/>
      <c r="O15" s="82"/>
    </row>
    <row r="16" spans="1:15" ht="15" x14ac:dyDescent="0.2">
      <c r="A16" s="1"/>
      <c r="B16" s="1"/>
      <c r="C16" s="16"/>
      <c r="D16" s="1"/>
      <c r="E16" s="1"/>
      <c r="F16" s="1"/>
      <c r="G16" s="1"/>
      <c r="H16" s="1"/>
      <c r="I16" s="14"/>
      <c r="J16" s="1"/>
      <c r="K16" s="1"/>
      <c r="L16" s="1"/>
      <c r="M16" s="1"/>
      <c r="N16" s="1"/>
      <c r="O16" s="82"/>
    </row>
    <row r="17" spans="1:15" ht="15" x14ac:dyDescent="0.2">
      <c r="A17" s="1"/>
      <c r="B17" s="1"/>
      <c r="C17" s="16"/>
      <c r="D17" s="1"/>
      <c r="E17" s="1"/>
      <c r="F17" s="1"/>
      <c r="G17" s="1"/>
      <c r="H17" s="1"/>
      <c r="I17" s="14"/>
      <c r="J17" s="1"/>
      <c r="K17" s="1"/>
      <c r="L17" s="1"/>
      <c r="M17" s="1"/>
      <c r="N17" s="1"/>
      <c r="O17" s="82"/>
    </row>
    <row r="18" spans="1:15" ht="15" x14ac:dyDescent="0.2">
      <c r="A18" s="1"/>
      <c r="B18" s="1"/>
      <c r="C18" s="16"/>
      <c r="D18" s="1"/>
      <c r="E18" s="1"/>
      <c r="F18" s="1"/>
      <c r="G18" s="1"/>
      <c r="H18" s="1"/>
      <c r="I18" s="14"/>
      <c r="J18" s="1"/>
      <c r="K18" s="1"/>
      <c r="L18" s="1"/>
      <c r="M18" s="1"/>
      <c r="N18" s="1"/>
      <c r="O18" s="82"/>
    </row>
    <row r="19" spans="1:15" ht="15" x14ac:dyDescent="0.2">
      <c r="A19" s="1"/>
      <c r="B19" s="1"/>
      <c r="C19" s="16"/>
      <c r="D19" s="1"/>
      <c r="E19" s="1"/>
      <c r="F19" s="1"/>
      <c r="G19" s="1"/>
      <c r="H19" s="1"/>
      <c r="I19" s="14"/>
      <c r="J19" s="1"/>
      <c r="K19" s="1"/>
      <c r="L19" s="1"/>
      <c r="M19" s="1"/>
      <c r="N19" s="1"/>
      <c r="O19" s="82"/>
    </row>
    <row r="20" spans="1:15" ht="15" x14ac:dyDescent="0.2">
      <c r="A20" s="1"/>
      <c r="B20" s="1"/>
      <c r="C20" s="16"/>
      <c r="D20" s="1"/>
      <c r="E20" s="1"/>
      <c r="F20" s="1"/>
      <c r="G20" s="1"/>
      <c r="H20" s="1"/>
      <c r="I20" s="14"/>
      <c r="J20" s="1"/>
      <c r="K20" s="1"/>
      <c r="L20" s="1"/>
      <c r="M20" s="1"/>
      <c r="N20" s="1"/>
      <c r="O20" s="82"/>
    </row>
  </sheetData>
  <mergeCells count="2">
    <mergeCell ref="A1:J2"/>
    <mergeCell ref="K1:O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9"/>
  <dimension ref="A1"/>
  <sheetViews>
    <sheetView topLeftCell="A7" workbookViewId="0">
      <selection activeCell="O17" sqref="O17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8fbfd49-c8e6-4618-a77f-5ef25245836c" origin="userSelected">
  <element uid="4ecbf47d-2ec6-497d-85fc-f65b66e62fe7" value=""/>
  <element uid="588104ae-2895-48f0-94e0-4417fcf0f7f0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1D36E9358C6D4AB3D45D5441C9B977" ma:contentTypeVersion="10" ma:contentTypeDescription="Een nieuw document maken." ma:contentTypeScope="" ma:versionID="808479a66b3135e46c64664a90511aea">
  <xsd:schema xmlns:xsd="http://www.w3.org/2001/XMLSchema" xmlns:xs="http://www.w3.org/2001/XMLSchema" xmlns:p="http://schemas.microsoft.com/office/2006/metadata/properties" xmlns:ns2="3d3418a9-7cec-4e32-9a8f-a8eeb5bafb99" xmlns:ns3="cc3f5cbe-b47d-423c-9812-774b787f3bb0" targetNamespace="http://schemas.microsoft.com/office/2006/metadata/properties" ma:root="true" ma:fieldsID="77226dd26bd5374dc0a46f13a60a462c" ns2:_="" ns3:_="">
    <xsd:import namespace="3d3418a9-7cec-4e32-9a8f-a8eeb5bafb99"/>
    <xsd:import namespace="cc3f5cbe-b47d-423c-9812-774b787f3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418a9-7cec-4e32-9a8f-a8eeb5bafb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26bf4c5-7ee5-4618-86e2-a96110c425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f5cbe-b47d-423c-9812-774b787f3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46a499-1d0a-4f81-8316-edd73dc99239}" ma:internalName="TaxCatchAll" ma:showField="CatchAllData" ma:web="cc3f5cbe-b47d-423c-9812-774b787f3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3f5cbe-b47d-423c-9812-774b787f3bb0" xsi:nil="true"/>
    <lcf76f155ced4ddcb4097134ff3c332f xmlns="3d3418a9-7cec-4e32-9a8f-a8eeb5bafb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7A16F1-A155-4DC9-A7F3-B0D6E185082D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9E7E51B-E3B8-49E7-95B0-C7A230F4CCE8}"/>
</file>

<file path=customXml/itemProps3.xml><?xml version="1.0" encoding="utf-8"?>
<ds:datastoreItem xmlns:ds="http://schemas.openxmlformats.org/officeDocument/2006/customXml" ds:itemID="{00A0B214-A2F2-4B29-9FAD-29B106CF233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BEA073-E8E5-4726-9D31-FAEFA880D77D}">
  <ds:schemaRefs>
    <ds:schemaRef ds:uri="http://schemas.microsoft.com/office/2006/documentManagement/types"/>
    <ds:schemaRef ds:uri="http://schemas.microsoft.com/office/2006/metadata/properties"/>
    <ds:schemaRef ds:uri="8a8c128b-e5c9-463e-a0e0-08447bb795e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36</vt:i4>
      </vt:variant>
      <vt:variant>
        <vt:lpstr>Benoemde bereiken</vt:lpstr>
      </vt:variant>
      <vt:variant>
        <vt:i4>16</vt:i4>
      </vt:variant>
    </vt:vector>
  </HeadingPairs>
  <TitlesOfParts>
    <vt:vector size="52" baseType="lpstr">
      <vt:lpstr>T5,XXX Utility (2)</vt:lpstr>
      <vt:lpstr>TC_TCE_MC</vt:lpstr>
      <vt:lpstr>T3.XXF</vt:lpstr>
      <vt:lpstr>T4000</vt:lpstr>
      <vt:lpstr>TN_TNA</vt:lpstr>
      <vt:lpstr>T4 LP</vt:lpstr>
      <vt:lpstr>T4 Powerstar</vt:lpstr>
      <vt:lpstr>TD$.xxF</vt:lpstr>
      <vt:lpstr>T4.75 85 95 105 115</vt:lpstr>
      <vt:lpstr>T4.80 90 110 VNF SS</vt:lpstr>
      <vt:lpstr>TDD</vt:lpstr>
      <vt:lpstr>T5.75 Tm T5.115 utillity</vt:lpstr>
      <vt:lpstr>TL_TLA</vt:lpstr>
      <vt:lpstr>Sheet3</vt:lpstr>
      <vt:lpstr>T5000</vt:lpstr>
      <vt:lpstr>TD5.xxx</vt:lpstr>
      <vt:lpstr>T5.xxx</vt:lpstr>
      <vt:lpstr>T5.xxxT4 EC</vt:lpstr>
      <vt:lpstr>T5.xxx T4B</vt:lpstr>
      <vt:lpstr>T5,xxx AC_DC</vt:lpstr>
      <vt:lpstr>TS_TSA</vt:lpstr>
      <vt:lpstr>T6000</vt:lpstr>
      <vt:lpstr>T6.xxx</vt:lpstr>
      <vt:lpstr>T6.xxx T4B</vt:lpstr>
      <vt:lpstr>TM</vt:lpstr>
      <vt:lpstr>T7.xxxSWB</vt:lpstr>
      <vt:lpstr>T7.xxxSWB T4B</vt:lpstr>
      <vt:lpstr>T7000</vt:lpstr>
      <vt:lpstr>T7.xxxLWB</vt:lpstr>
      <vt:lpstr>T7.xxxLWB T4B</vt:lpstr>
      <vt:lpstr>T7.XXXHD</vt:lpstr>
      <vt:lpstr>TVT_T7500</vt:lpstr>
      <vt:lpstr>70_70A</vt:lpstr>
      <vt:lpstr>TG_T8000</vt:lpstr>
      <vt:lpstr>T8</vt:lpstr>
      <vt:lpstr>Sheet1</vt:lpstr>
      <vt:lpstr>'70_70A'!Afdruktitels</vt:lpstr>
      <vt:lpstr>'T4000'!Afdruktitels</vt:lpstr>
      <vt:lpstr>T7.xxxLWB!Afdruktitels</vt:lpstr>
      <vt:lpstr>'T7.xxxLWB T4B'!Afdruktitels</vt:lpstr>
      <vt:lpstr>T7.xxxSWB!Afdruktitels</vt:lpstr>
      <vt:lpstr>'T7.xxxSWB T4B'!Afdruktitels</vt:lpstr>
      <vt:lpstr>'T7000'!Afdruktitels</vt:lpstr>
      <vt:lpstr>TC_TCE_MC!Afdruktitels</vt:lpstr>
      <vt:lpstr>TD5.xxx!Afdruktitels</vt:lpstr>
      <vt:lpstr>TDD!Afdruktitels</vt:lpstr>
      <vt:lpstr>TG_T8000!Afdruktitels</vt:lpstr>
      <vt:lpstr>TL_TLA!Afdruktitels</vt:lpstr>
      <vt:lpstr>TM!Afdruktitels</vt:lpstr>
      <vt:lpstr>TN_TNA!Afdruktitels</vt:lpstr>
      <vt:lpstr>TS_TSA!Afdruktitels</vt:lpstr>
      <vt:lpstr>TVT_T7500!Afdruktitels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holland</dc:creator>
  <cp:lastModifiedBy>S. Huizinga | Polderbanden.nl</cp:lastModifiedBy>
  <cp:lastPrinted>2012-03-01T14:23:22Z</cp:lastPrinted>
  <dcterms:created xsi:type="dcterms:W3CDTF">2013-01-13T13:41:53Z</dcterms:created>
  <dcterms:modified xsi:type="dcterms:W3CDTF">2024-12-31T14:26:04Z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d56bd9cf-a69c-4f4e-9b9c-2671aed299d8</vt:lpwstr>
  </property>
  <property fmtid="{D5CDD505-2E9C-101B-9397-08002B2CF9AE}" pid="3" name="bjSaver">
    <vt:lpwstr>OXBUjcovIvJrIr/vsfCWYXq2zRBi45nA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policy="18fbfd49-c8e6-4618-a77f-5ef25245836c" origin="userSelected" xmlns="http://www.boldonj</vt:lpwstr>
  </property>
  <property fmtid="{D5CDD505-2E9C-101B-9397-08002B2CF9AE}" pid="5" name="bjDocumentLabelXML-0">
    <vt:lpwstr>ames.com/2008/01/sie/internal/label"&gt;&lt;element uid="4ecbf47d-2ec6-497d-85fc-f65b66e62fe7" value="" /&gt;&lt;element uid="588104ae-2895-48f0-94e0-4417fcf0f7f0" value="" /&gt;&lt;/sisl&gt;</vt:lpwstr>
  </property>
  <property fmtid="{D5CDD505-2E9C-101B-9397-08002B2CF9AE}" pid="6" name="bjDocumentSecurityLabel">
    <vt:lpwstr>CNH Industrial: GENERAL BUSINESS  Contains no personal data</vt:lpwstr>
  </property>
  <property fmtid="{D5CDD505-2E9C-101B-9397-08002B2CF9AE}" pid="7" name="CNH-Classification">
    <vt:lpwstr>[GENERAL BUSINESS - Contains no personal data]</vt:lpwstr>
  </property>
  <property fmtid="{D5CDD505-2E9C-101B-9397-08002B2CF9AE}" pid="8" name="CNH-LabelledBy:">
    <vt:lpwstr>ND271,17/12/2018 11:07:26,GENERAL BUSINESS</vt:lpwstr>
  </property>
  <property fmtid="{D5CDD505-2E9C-101B-9397-08002B2CF9AE}" pid="9" name="ContentTypeId">
    <vt:lpwstr>0x010100301D36E9358C6D4AB3D45D5441C9B977</vt:lpwstr>
  </property>
</Properties>
</file>